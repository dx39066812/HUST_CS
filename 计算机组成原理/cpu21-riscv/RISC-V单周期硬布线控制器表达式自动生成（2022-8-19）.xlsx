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31289\Desktop\2025秋硬件综合训练课设资料发布包\cpu21-riscv\"/>
    </mc:Choice>
  </mc:AlternateContent>
  <xr:revisionPtr revIDLastSave="0" documentId="13_ncr:1_{2CBB293F-3C8E-4C38-ABF4-AAD5E78B1171}" xr6:coauthVersionLast="47" xr6:coauthVersionMax="47" xr10:uidLastSave="{00000000-0000-0000-0000-000000000000}"/>
  <bookViews>
    <workbookView xWindow="0" yWindow="360" windowWidth="25820" windowHeight="15500" activeTab="1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W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V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V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V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S25" i="2"/>
  <c r="R25" i="2"/>
  <c r="Q25" i="2"/>
  <c r="P25" i="2"/>
  <c r="I25" i="2"/>
  <c r="H25" i="2"/>
  <c r="G25" i="2"/>
  <c r="F25" i="2"/>
  <c r="E25" i="2"/>
  <c r="N25" i="2"/>
  <c r="M25" i="2"/>
  <c r="L25" i="2"/>
  <c r="K25" i="2"/>
  <c r="J25" i="2"/>
  <c r="S24" i="2"/>
  <c r="R24" i="2"/>
  <c r="Q24" i="2"/>
  <c r="P24" i="2"/>
  <c r="I24" i="2"/>
  <c r="H24" i="2"/>
  <c r="G24" i="2"/>
  <c r="F24" i="2"/>
  <c r="E24" i="2"/>
  <c r="N24" i="2"/>
  <c r="M24" i="2"/>
  <c r="L24" i="2"/>
  <c r="K24" i="2"/>
  <c r="J24" i="2"/>
  <c r="S23" i="2"/>
  <c r="R23" i="2"/>
  <c r="Q23" i="2"/>
  <c r="P23" i="2"/>
  <c r="I23" i="2"/>
  <c r="H23" i="2"/>
  <c r="G23" i="2"/>
  <c r="F23" i="2"/>
  <c r="E23" i="2"/>
  <c r="N23" i="2"/>
  <c r="M23" i="2"/>
  <c r="L23" i="2"/>
  <c r="K23" i="2"/>
  <c r="J23" i="2"/>
  <c r="R22" i="2"/>
  <c r="P22" i="2"/>
  <c r="I22" i="2"/>
  <c r="H22" i="2"/>
  <c r="G22" i="2"/>
  <c r="F22" i="2"/>
  <c r="E22" i="2"/>
  <c r="N22" i="2"/>
  <c r="M22" i="2"/>
  <c r="L22" i="2"/>
  <c r="K22" i="2"/>
  <c r="J22" i="2"/>
  <c r="S21" i="2"/>
  <c r="R21" i="2"/>
  <c r="Q21" i="2"/>
  <c r="P21" i="2"/>
  <c r="I21" i="2"/>
  <c r="H21" i="2"/>
  <c r="G21" i="2"/>
  <c r="F21" i="2"/>
  <c r="E21" i="2"/>
  <c r="N21" i="2"/>
  <c r="M21" i="2"/>
  <c r="L21" i="2"/>
  <c r="K21" i="2"/>
  <c r="J21" i="2"/>
  <c r="S20" i="2"/>
  <c r="R20" i="2"/>
  <c r="Q20" i="2"/>
  <c r="P20" i="2"/>
  <c r="I20" i="2"/>
  <c r="H20" i="2"/>
  <c r="G20" i="2"/>
  <c r="F20" i="2"/>
  <c r="E20" i="2"/>
  <c r="N20" i="2"/>
  <c r="M20" i="2"/>
  <c r="L20" i="2"/>
  <c r="K20" i="2"/>
  <c r="J20" i="2"/>
  <c r="S19" i="2"/>
  <c r="R19" i="2"/>
  <c r="Q19" i="2"/>
  <c r="P19" i="2"/>
  <c r="I19" i="2"/>
  <c r="H19" i="2"/>
  <c r="G19" i="2"/>
  <c r="F19" i="2"/>
  <c r="E19" i="2"/>
  <c r="N19" i="2"/>
  <c r="M19" i="2"/>
  <c r="L19" i="2"/>
  <c r="K19" i="2"/>
  <c r="J19" i="2"/>
  <c r="S18" i="2"/>
  <c r="R18" i="2"/>
  <c r="Q18" i="2"/>
  <c r="P18" i="2"/>
  <c r="I18" i="2"/>
  <c r="H18" i="2"/>
  <c r="G18" i="2"/>
  <c r="F18" i="2"/>
  <c r="E18" i="2"/>
  <c r="N18" i="2"/>
  <c r="M18" i="2"/>
  <c r="L18" i="2"/>
  <c r="K18" i="2"/>
  <c r="J18" i="2"/>
  <c r="R17" i="2"/>
  <c r="P17" i="2"/>
  <c r="I17" i="2"/>
  <c r="H17" i="2"/>
  <c r="G17" i="2"/>
  <c r="F17" i="2"/>
  <c r="E17" i="2"/>
  <c r="N17" i="2"/>
  <c r="M17" i="2"/>
  <c r="L17" i="2"/>
  <c r="K17" i="2"/>
  <c r="J17" i="2"/>
  <c r="R16" i="2"/>
  <c r="P16" i="2"/>
  <c r="I16" i="2"/>
  <c r="H16" i="2"/>
  <c r="G16" i="2"/>
  <c r="F16" i="2"/>
  <c r="E16" i="2"/>
  <c r="N16" i="2"/>
  <c r="M16" i="2"/>
  <c r="L16" i="2"/>
  <c r="K16" i="2"/>
  <c r="J16" i="2"/>
  <c r="R15" i="2"/>
  <c r="Q15" i="2"/>
  <c r="P15" i="2"/>
  <c r="I15" i="2"/>
  <c r="H15" i="2"/>
  <c r="G15" i="2"/>
  <c r="F15" i="2"/>
  <c r="E15" i="2"/>
  <c r="N15" i="2"/>
  <c r="M15" i="2"/>
  <c r="L15" i="2"/>
  <c r="K15" i="2"/>
  <c r="J15" i="2"/>
  <c r="S14" i="2"/>
  <c r="Q14" i="2"/>
  <c r="P14" i="2"/>
  <c r="I14" i="2"/>
  <c r="H14" i="2"/>
  <c r="G14" i="2"/>
  <c r="F14" i="2"/>
  <c r="E14" i="2"/>
  <c r="N14" i="2"/>
  <c r="M14" i="2"/>
  <c r="L14" i="2"/>
  <c r="K14" i="2"/>
  <c r="J14" i="2"/>
  <c r="S13" i="2"/>
  <c r="R13" i="2"/>
  <c r="Q13" i="2"/>
  <c r="P13" i="2"/>
  <c r="I13" i="2"/>
  <c r="H13" i="2"/>
  <c r="G13" i="2"/>
  <c r="F13" i="2"/>
  <c r="E13" i="2"/>
  <c r="N13" i="2"/>
  <c r="M13" i="2"/>
  <c r="L13" i="2"/>
  <c r="K13" i="2"/>
  <c r="J13" i="2"/>
  <c r="Q12" i="2"/>
  <c r="I12" i="2"/>
  <c r="H12" i="2"/>
  <c r="G12" i="2"/>
  <c r="F12" i="2"/>
  <c r="E12" i="2"/>
  <c r="N12" i="2"/>
  <c r="M12" i="2"/>
  <c r="L12" i="2"/>
  <c r="K12" i="2"/>
  <c r="J12" i="2"/>
  <c r="R11" i="2"/>
  <c r="Q11" i="2"/>
  <c r="I11" i="2"/>
  <c r="H11" i="2"/>
  <c r="G11" i="2"/>
  <c r="F11" i="2"/>
  <c r="E11" i="2"/>
  <c r="N11" i="2"/>
  <c r="M11" i="2"/>
  <c r="L11" i="2"/>
  <c r="K11" i="2"/>
  <c r="J11" i="2"/>
  <c r="S10" i="2"/>
  <c r="R10" i="2"/>
  <c r="Q10" i="2"/>
  <c r="I10" i="2"/>
  <c r="H10" i="2"/>
  <c r="G10" i="2"/>
  <c r="F10" i="2"/>
  <c r="E10" i="2"/>
  <c r="N10" i="2"/>
  <c r="M10" i="2"/>
  <c r="L10" i="2"/>
  <c r="K10" i="2"/>
  <c r="J10" i="2"/>
  <c r="P9" i="2"/>
  <c r="I9" i="2"/>
  <c r="H9" i="2"/>
  <c r="G9" i="2"/>
  <c r="F9" i="2"/>
  <c r="E9" i="2"/>
  <c r="N9" i="2"/>
  <c r="M9" i="2"/>
  <c r="L9" i="2"/>
  <c r="K9" i="2"/>
  <c r="J9" i="2"/>
  <c r="R8" i="2"/>
  <c r="P8" i="2"/>
  <c r="I8" i="2"/>
  <c r="H8" i="2"/>
  <c r="G8" i="2"/>
  <c r="F8" i="2"/>
  <c r="E8" i="2"/>
  <c r="N8" i="2"/>
  <c r="M8" i="2"/>
  <c r="L8" i="2"/>
  <c r="K8" i="2"/>
  <c r="J8" i="2"/>
  <c r="S7" i="2"/>
  <c r="R7" i="2"/>
  <c r="I7" i="2"/>
  <c r="H7" i="2"/>
  <c r="G7" i="2"/>
  <c r="F7" i="2"/>
  <c r="E7" i="2"/>
  <c r="N7" i="2"/>
  <c r="M7" i="2"/>
  <c r="L7" i="2"/>
  <c r="K7" i="2"/>
  <c r="J7" i="2"/>
  <c r="Q6" i="2"/>
  <c r="I6" i="2"/>
  <c r="H6" i="2"/>
  <c r="G6" i="2"/>
  <c r="F6" i="2"/>
  <c r="E6" i="2"/>
  <c r="N6" i="2"/>
  <c r="M6" i="2"/>
  <c r="L6" i="2"/>
  <c r="K6" i="2"/>
  <c r="J6" i="2"/>
  <c r="R5" i="2"/>
  <c r="I5" i="2"/>
  <c r="H5" i="2"/>
  <c r="G5" i="2"/>
  <c r="F5" i="2"/>
  <c r="E5" i="2"/>
  <c r="N5" i="2"/>
  <c r="M5" i="2"/>
  <c r="L5" i="2"/>
  <c r="K5" i="2"/>
  <c r="J5" i="2"/>
  <c r="P4" i="2"/>
  <c r="I4" i="2"/>
  <c r="H4" i="2"/>
  <c r="G4" i="2"/>
  <c r="F4" i="2"/>
  <c r="E4" i="2"/>
  <c r="N4" i="2"/>
  <c r="M4" i="2"/>
  <c r="L4" i="2"/>
  <c r="K4" i="2"/>
  <c r="J4" i="2"/>
  <c r="S3" i="2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R2" i="2"/>
  <c r="P2" i="2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W13" i="2" s="1"/>
  <c r="O15" i="2"/>
  <c r="W15" i="2" s="1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W14" i="2" s="1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V22" i="2" l="1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<sst xmlns="http://schemas.openxmlformats.org/spreadsheetml/2006/main" count="159" uniqueCount="131">
  <si>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</si>
  <si>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</si>
  <si>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</si>
  <si>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</si>
  <si>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</si>
  <si>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</si>
  <si>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</si>
  <si>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</si>
  <si>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</si>
  <si>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</si>
  <si>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</si>
  <si>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</si>
  <si>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</si>
  <si>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</si>
  <si>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</si>
  <si>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</si>
  <si>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</si>
  <si>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</si>
  <si>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</si>
  <si>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</si>
  <si>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</si>
  <si>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</si>
  <si>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</si>
  <si>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</si>
  <si>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</si>
  <si>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</si>
  <si>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</si>
  <si>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</si>
  <si>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</si>
  <si>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</si>
  <si>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</si>
  <si>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</si>
  <si>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</si>
  <si>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</si>
  <si>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</si>
  <si>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</si>
  <si>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</si>
  <si>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</si>
  <si>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</si>
  <si>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</si>
  <si>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</si>
  <si>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</si>
  <si>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</si>
  <si>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</si>
  <si>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</si>
  <si>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</si>
  <si>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</si>
  <si>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</si>
  <si>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</si>
  <si>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</si>
  <si>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</si>
  <si>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</si>
  <si>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</si>
  <si>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</si>
  <si>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</si>
  <si>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</si>
  <si>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</si>
  <si>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</si>
  <si>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</si>
  <si>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</si>
  <si>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</si>
  <si>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</si>
  <si>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</si>
  <si>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</si>
  <si>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</si>
  <si>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</si>
  <si>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</si>
  <si>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</si>
  <si>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</si>
  <si>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</si>
  <si>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</si>
  <si>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</si>
  <si>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</si>
  <si>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</si>
  <si>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</si>
  <si>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</si>
  <si>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</si>
  <si>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</si>
  <si>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</si>
  <si>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</si>
  <si>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</si>
  <si>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</si>
  <si>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</si>
  <si>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</si>
  <si>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</si>
  <si>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</si>
  <si>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</si>
  <si>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</si>
  <si>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</si>
  <si>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</si>
  <si>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</si>
  <si>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</si>
  <si>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</si>
  <si>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</si>
  <si>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</si>
  <si>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</si>
  <si>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</si>
  <si>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</si>
  <si>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</si>
  <si>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</si>
  <si>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</si>
  <si>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</si>
  <si>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</si>
  <si>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</si>
  <si>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</si>
  <si>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</si>
  <si>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</si>
  <si>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</si>
  <si>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</si>
  <si>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</si>
  <si>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</si>
  <si>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</si>
  <si>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</si>
  <si>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</si>
  <si>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</si>
  <si>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</si>
  <si>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</si>
  <si>
    <t>1C</t>
  </si>
  <si>
    <t>1B</t>
  </si>
  <si>
    <t>X</t>
  </si>
  <si>
    <t>sra</t>
    <phoneticPr fontId="26" type="noConversion"/>
  </si>
  <si>
    <t>lui</t>
    <phoneticPr fontId="26" type="noConversion"/>
  </si>
  <si>
    <t>lb</t>
    <phoneticPr fontId="26" type="noConversion"/>
  </si>
  <si>
    <t>bgeu</t>
    <phoneticPr fontId="26" type="noConversion"/>
  </si>
  <si>
    <t>C</t>
    <phoneticPr fontId="26" type="noConversion"/>
  </si>
  <si>
    <t>D</t>
    <phoneticPr fontId="26" type="noConversion"/>
  </si>
  <si>
    <t>U_type</t>
    <phoneticPr fontId="26" type="noConversion"/>
  </si>
  <si>
    <t>Byte</t>
    <phoneticPr fontId="26" type="noConversion"/>
  </si>
  <si>
    <t>BGEU</t>
    <phoneticPr fontId="26" type="noConversion"/>
  </si>
  <si>
    <t>CSRRSI</t>
    <phoneticPr fontId="26" type="noConversion"/>
  </si>
  <si>
    <t>CSRRCI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</si>
</sst>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5" fillId="0" borderId="0"/>
  </cellStyleXfs>
  <cellXfs count="8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13" fillId="6" borderId="11" xfId="1" applyFont="1" applyFill="1" applyBorder="1" applyAlignment="1">
      <alignment horizontal="center"/>
    </xf>
    <xf numFmtId="0" fontId="13" fillId="6" borderId="13" xfId="1" applyFont="1" applyFill="1" applyBorder="1" applyAlignment="1">
      <alignment horizontal="center"/>
    </xf>
    <xf numFmtId="0" fontId="13" fillId="9" borderId="13" xfId="1" applyFont="1" applyFill="1" applyBorder="1" applyAlignment="1">
      <alignment horizontal="center"/>
    </xf>
    <xf numFmtId="0" fontId="13" fillId="9" borderId="10" xfId="1" applyFont="1" applyFill="1" applyBorder="1" applyAlignment="1">
      <alignment horizontal="center"/>
    </xf>
    <xf numFmtId="0" fontId="13" fillId="9" borderId="11" xfId="1" applyFont="1" applyFill="1" applyBorder="1" applyAlignment="1">
      <alignment horizontal="center"/>
    </xf>
    <xf numFmtId="0" fontId="11" fillId="6" borderId="13" xfId="1" applyFont="1" applyFill="1" applyBorder="1" applyAlignment="1">
      <alignment horizontal="center"/>
    </xf>
    <xf numFmtId="0" fontId="12" fillId="6" borderId="13" xfId="1" applyFont="1" applyFill="1" applyBorder="1" applyAlignment="1">
      <alignment horizontal="center"/>
    </xf>
    <xf numFmtId="0" fontId="20" fillId="6" borderId="14" xfId="1" applyFont="1" applyFill="1" applyBorder="1" applyAlignment="1">
      <alignment horizontal="center"/>
    </xf>
    <xf numFmtId="0" fontId="20" fillId="6" borderId="13" xfId="1" applyFont="1" applyFill="1" applyBorder="1" applyAlignment="1">
      <alignment horizontal="center"/>
    </xf>
    <xf numFmtId="0" fontId="11" fillId="9" borderId="10" xfId="1" applyFont="1" applyFill="1" applyBorder="1" applyAlignment="1">
      <alignment horizontal="center"/>
    </xf>
    <xf numFmtId="0" fontId="12" fillId="9" borderId="10" xfId="1" applyFont="1" applyFill="1" applyBorder="1" applyAlignment="1">
      <alignment horizontal="center"/>
    </xf>
    <xf numFmtId="0" fontId="20" fillId="9" borderId="12" xfId="1" applyFont="1" applyFill="1" applyBorder="1" applyAlignment="1">
      <alignment horizontal="center"/>
    </xf>
    <xf numFmtId="0" fontId="20" fillId="9" borderId="10" xfId="1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2">
    <cellStyle name="常规" xfId="0" builtinId="0"/>
    <cellStyle name="常规 2" xfId="1" xr:uid="{AC09D514-CC74-4A1E-B124-BE57A960EBC8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workbookViewId="0">
      <selection activeCell="AF23" sqref="AF23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26" customWidth="1"/>
    <col min="5" max="5" width="11.25" style="26" customWidth="1"/>
    <col min="6" max="15" width="4.58203125" style="26" hidden="1" customWidth="1"/>
    <col min="16" max="16" width="8.83203125" style="26" customWidth="1"/>
    <col min="17" max="20" width="3.58203125" style="26" hidden="1" customWidth="1"/>
    <col min="21" max="21" width="10.25" style="26" customWidth="1"/>
    <col min="22" max="22" width="9.25" style="26" customWidth="1"/>
    <col min="23" max="23" width="10.582031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7.5" x14ac:dyDescent="0.3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129</v>
      </c>
      <c r="AF1" s="25" t="s">
        <v>126</v>
      </c>
      <c r="AG1" s="25" t="s">
        <v>127</v>
      </c>
      <c r="AH1" s="25" t="s">
        <v>128</v>
      </c>
      <c r="AI1" s="25" t="s">
        <v>130</v>
      </c>
      <c r="AJ1" s="25" t="s">
        <v>13</v>
      </c>
      <c r="AK1" s="25" t="s">
        <v>13</v>
      </c>
      <c r="AL1" s="25" t="s">
        <v>13</v>
      </c>
      <c r="AM1" s="25" t="s">
        <v>13</v>
      </c>
      <c r="AN1" s="17" t="s">
        <v>14</v>
      </c>
    </row>
    <row r="2" spans="1:40" x14ac:dyDescent="0.45">
      <c r="A2" s="35">
        <v>1</v>
      </c>
      <c r="B2" s="31" t="s">
        <v>63</v>
      </c>
      <c r="C2" s="71">
        <v>0</v>
      </c>
      <c r="D2" s="71">
        <v>0</v>
      </c>
      <c r="E2" s="70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77">
        <v>5</v>
      </c>
      <c r="Q2" s="78">
        <v>0</v>
      </c>
      <c r="R2" s="78">
        <v>1</v>
      </c>
      <c r="S2" s="78">
        <v>0</v>
      </c>
      <c r="T2" s="78">
        <v>1</v>
      </c>
      <c r="U2" s="75"/>
      <c r="V2" s="75"/>
      <c r="W2" s="75"/>
      <c r="X2" s="75">
        <v>1</v>
      </c>
      <c r="Y2" s="75"/>
      <c r="Z2" s="75"/>
      <c r="AA2" s="75"/>
      <c r="AB2" s="75"/>
      <c r="AC2" s="75"/>
      <c r="AD2" s="75"/>
      <c r="AE2" s="75"/>
      <c r="AF2" s="75"/>
      <c r="AG2" s="76"/>
      <c r="AH2" s="36"/>
      <c r="AI2" s="36"/>
      <c r="AJ2" s="36"/>
      <c r="AK2" s="36"/>
      <c r="AL2" s="36"/>
      <c r="AM2" s="36"/>
    </row>
    <row r="3" spans="1:40" x14ac:dyDescent="0.45">
      <c r="A3" s="57">
        <v>2</v>
      </c>
      <c r="B3" s="57" t="s">
        <v>77</v>
      </c>
      <c r="C3" s="72">
        <v>32</v>
      </c>
      <c r="D3" s="73">
        <v>0</v>
      </c>
      <c r="E3" s="74" t="s">
        <v>116</v>
      </c>
      <c r="F3" s="59">
        <f t="shared" ref="F3:F61" si="8">IF(ISNUMBER($C3),IF(MOD($C3,64)/32&gt;=1,1,0),"")</f>
        <v>1</v>
      </c>
      <c r="G3" s="59">
        <f t="shared" ref="G3:G61" si="9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81">
        <v>6</v>
      </c>
      <c r="Q3" s="82">
        <v>0</v>
      </c>
      <c r="R3" s="82">
        <v>1</v>
      </c>
      <c r="S3" s="82">
        <v>1</v>
      </c>
      <c r="T3" s="82">
        <v>0</v>
      </c>
      <c r="U3" s="79"/>
      <c r="V3" s="79"/>
      <c r="W3" s="79"/>
      <c r="X3" s="79">
        <v>1</v>
      </c>
      <c r="Y3" s="79"/>
      <c r="Z3" s="79"/>
      <c r="AA3" s="79"/>
      <c r="AB3" s="79"/>
      <c r="AC3" s="79"/>
      <c r="AD3" s="79"/>
      <c r="AE3" s="79"/>
      <c r="AF3" s="79"/>
      <c r="AG3" s="80"/>
      <c r="AH3" s="58"/>
      <c r="AI3" s="58"/>
      <c r="AJ3" s="58"/>
      <c r="AK3" s="58"/>
      <c r="AL3" s="58"/>
      <c r="AM3" s="58"/>
    </row>
    <row r="4" spans="1:40" x14ac:dyDescent="0.45">
      <c r="A4" s="35">
        <v>3</v>
      </c>
      <c r="B4" s="31" t="s">
        <v>78</v>
      </c>
      <c r="C4" s="71">
        <v>0</v>
      </c>
      <c r="D4" s="71">
        <v>7</v>
      </c>
      <c r="E4" s="70" t="s">
        <v>116</v>
      </c>
      <c r="F4" s="20">
        <f t="shared" si="8"/>
        <v>0</v>
      </c>
      <c r="G4" s="20">
        <f t="shared" si="9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77">
        <v>7</v>
      </c>
      <c r="Q4" s="78">
        <v>0</v>
      </c>
      <c r="R4" s="78">
        <v>1</v>
      </c>
      <c r="S4" s="78">
        <v>1</v>
      </c>
      <c r="T4" s="78">
        <v>1</v>
      </c>
      <c r="U4" s="75"/>
      <c r="V4" s="75"/>
      <c r="W4" s="75"/>
      <c r="X4" s="75">
        <v>1</v>
      </c>
      <c r="Y4" s="75"/>
      <c r="Z4" s="75"/>
      <c r="AA4" s="75"/>
      <c r="AB4" s="75"/>
      <c r="AC4" s="75"/>
      <c r="AD4" s="75"/>
      <c r="AE4" s="75"/>
      <c r="AF4" s="75"/>
      <c r="AG4" s="76"/>
      <c r="AH4" s="36"/>
      <c r="AI4" s="36"/>
      <c r="AJ4" s="36"/>
      <c r="AK4" s="36"/>
      <c r="AL4" s="36"/>
      <c r="AM4" s="36"/>
    </row>
    <row r="5" spans="1:40" x14ac:dyDescent="0.45">
      <c r="A5" s="57">
        <v>4</v>
      </c>
      <c r="B5" s="57" t="s">
        <v>79</v>
      </c>
      <c r="C5" s="72">
        <v>0</v>
      </c>
      <c r="D5" s="73">
        <v>6</v>
      </c>
      <c r="E5" s="74" t="s">
        <v>116</v>
      </c>
      <c r="F5" s="59">
        <f t="shared" si="8"/>
        <v>0</v>
      </c>
      <c r="G5" s="59">
        <f t="shared" si="9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81">
        <v>8</v>
      </c>
      <c r="Q5" s="82">
        <v>1</v>
      </c>
      <c r="R5" s="82">
        <v>0</v>
      </c>
      <c r="S5" s="82">
        <v>0</v>
      </c>
      <c r="T5" s="82">
        <v>0</v>
      </c>
      <c r="U5" s="79"/>
      <c r="V5" s="79"/>
      <c r="W5" s="79"/>
      <c r="X5" s="79">
        <v>1</v>
      </c>
      <c r="Y5" s="79"/>
      <c r="Z5" s="79"/>
      <c r="AA5" s="79"/>
      <c r="AB5" s="79"/>
      <c r="AC5" s="79"/>
      <c r="AD5" s="79"/>
      <c r="AE5" s="79"/>
      <c r="AF5" s="79"/>
      <c r="AG5" s="80"/>
      <c r="AH5" s="58"/>
      <c r="AI5" s="58"/>
      <c r="AJ5" s="58"/>
      <c r="AK5" s="58"/>
      <c r="AL5" s="58"/>
      <c r="AM5" s="58"/>
    </row>
    <row r="6" spans="1:40" x14ac:dyDescent="0.45">
      <c r="A6" s="35">
        <v>5</v>
      </c>
      <c r="B6" s="31" t="s">
        <v>64</v>
      </c>
      <c r="C6" s="71">
        <v>0</v>
      </c>
      <c r="D6" s="71">
        <v>2</v>
      </c>
      <c r="E6" s="70" t="s">
        <v>116</v>
      </c>
      <c r="F6" s="20">
        <f t="shared" si="8"/>
        <v>0</v>
      </c>
      <c r="G6" s="20">
        <f t="shared" si="9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77">
        <v>11</v>
      </c>
      <c r="Q6" s="78">
        <v>1</v>
      </c>
      <c r="R6" s="78">
        <v>0</v>
      </c>
      <c r="S6" s="78">
        <v>1</v>
      </c>
      <c r="T6" s="78">
        <v>1</v>
      </c>
      <c r="U6" s="75"/>
      <c r="V6" s="75"/>
      <c r="W6" s="75"/>
      <c r="X6" s="75">
        <v>1</v>
      </c>
      <c r="Y6" s="75"/>
      <c r="Z6" s="75"/>
      <c r="AA6" s="75"/>
      <c r="AB6" s="75"/>
      <c r="AC6" s="75"/>
      <c r="AD6" s="75"/>
      <c r="AE6" s="75"/>
      <c r="AF6" s="75"/>
      <c r="AG6" s="76"/>
      <c r="AH6" s="36"/>
      <c r="AI6" s="36"/>
      <c r="AJ6" s="36"/>
      <c r="AK6" s="36"/>
      <c r="AL6" s="36"/>
      <c r="AM6" s="36"/>
    </row>
    <row r="7" spans="1:40" x14ac:dyDescent="0.45">
      <c r="A7" s="57">
        <v>6</v>
      </c>
      <c r="B7" s="57" t="s">
        <v>80</v>
      </c>
      <c r="C7" s="72">
        <v>0</v>
      </c>
      <c r="D7" s="73">
        <v>3</v>
      </c>
      <c r="E7" s="74" t="s">
        <v>116</v>
      </c>
      <c r="F7" s="59">
        <f t="shared" si="8"/>
        <v>0</v>
      </c>
      <c r="G7" s="59">
        <f t="shared" si="9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81">
        <v>12</v>
      </c>
      <c r="Q7" s="82">
        <v>1</v>
      </c>
      <c r="R7" s="82">
        <v>1</v>
      </c>
      <c r="S7" s="82">
        <v>0</v>
      </c>
      <c r="T7" s="82">
        <v>0</v>
      </c>
      <c r="U7" s="79"/>
      <c r="V7" s="79"/>
      <c r="W7" s="79"/>
      <c r="X7" s="79">
        <v>1</v>
      </c>
      <c r="Y7" s="79"/>
      <c r="Z7" s="79"/>
      <c r="AA7" s="79"/>
      <c r="AB7" s="79"/>
      <c r="AC7" s="79"/>
      <c r="AD7" s="79"/>
      <c r="AE7" s="79"/>
      <c r="AF7" s="79"/>
      <c r="AG7" s="80"/>
      <c r="AH7" s="58"/>
      <c r="AI7" s="58"/>
      <c r="AJ7" s="58"/>
      <c r="AK7" s="58"/>
      <c r="AL7" s="58"/>
      <c r="AM7" s="58"/>
    </row>
    <row r="8" spans="1:40" x14ac:dyDescent="0.45">
      <c r="A8" s="35">
        <v>7</v>
      </c>
      <c r="B8" s="31" t="s">
        <v>76</v>
      </c>
      <c r="C8" s="71"/>
      <c r="D8" s="71">
        <v>0</v>
      </c>
      <c r="E8" s="70">
        <v>4</v>
      </c>
      <c r="F8" s="20" t="str">
        <f t="shared" si="8"/>
        <v/>
      </c>
      <c r="G8" s="20" t="str">
        <f t="shared" si="9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77">
        <v>5</v>
      </c>
      <c r="Q8" s="78">
        <v>0</v>
      </c>
      <c r="R8" s="78">
        <v>1</v>
      </c>
      <c r="S8" s="78">
        <v>0</v>
      </c>
      <c r="T8" s="78">
        <v>1</v>
      </c>
      <c r="U8" s="75"/>
      <c r="V8" s="75"/>
      <c r="W8" s="75">
        <v>1</v>
      </c>
      <c r="X8" s="75">
        <v>1</v>
      </c>
      <c r="Y8" s="75"/>
      <c r="Z8" s="75"/>
      <c r="AA8" s="75"/>
      <c r="AB8" s="75"/>
      <c r="AC8" s="75"/>
      <c r="AD8" s="75"/>
      <c r="AE8" s="75"/>
      <c r="AF8" s="75"/>
      <c r="AG8" s="76"/>
      <c r="AH8" s="36"/>
      <c r="AI8" s="36"/>
      <c r="AJ8" s="36"/>
      <c r="AK8" s="36"/>
      <c r="AL8" s="36"/>
      <c r="AM8" s="36"/>
    </row>
    <row r="9" spans="1:40" x14ac:dyDescent="0.45">
      <c r="A9" s="57">
        <v>8</v>
      </c>
      <c r="B9" s="57" t="s">
        <v>81</v>
      </c>
      <c r="C9" s="72"/>
      <c r="D9" s="73">
        <v>7</v>
      </c>
      <c r="E9" s="74">
        <v>4</v>
      </c>
      <c r="F9" s="59" t="str">
        <f t="shared" si="8"/>
        <v/>
      </c>
      <c r="G9" s="59" t="str">
        <f t="shared" si="9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81">
        <v>7</v>
      </c>
      <c r="Q9" s="82">
        <v>0</v>
      </c>
      <c r="R9" s="82">
        <v>1</v>
      </c>
      <c r="S9" s="82">
        <v>1</v>
      </c>
      <c r="T9" s="82">
        <v>1</v>
      </c>
      <c r="U9" s="79"/>
      <c r="V9" s="79"/>
      <c r="W9" s="79">
        <v>1</v>
      </c>
      <c r="X9" s="79">
        <v>1</v>
      </c>
      <c r="Y9" s="79"/>
      <c r="Z9" s="79"/>
      <c r="AA9" s="79"/>
      <c r="AB9" s="79"/>
      <c r="AC9" s="79"/>
      <c r="AD9" s="79"/>
      <c r="AE9" s="79"/>
      <c r="AF9" s="79"/>
      <c r="AG9" s="80"/>
      <c r="AH9" s="58"/>
      <c r="AI9" s="58"/>
      <c r="AJ9" s="58"/>
      <c r="AK9" s="58"/>
      <c r="AL9" s="58"/>
      <c r="AM9" s="58"/>
    </row>
    <row r="10" spans="1:40" x14ac:dyDescent="0.45">
      <c r="A10" s="35">
        <v>9</v>
      </c>
      <c r="B10" s="31" t="s">
        <v>83</v>
      </c>
      <c r="C10" s="71"/>
      <c r="D10" s="71">
        <v>6</v>
      </c>
      <c r="E10" s="70">
        <v>4</v>
      </c>
      <c r="F10" s="20" t="str">
        <f t="shared" si="8"/>
        <v/>
      </c>
      <c r="G10" s="20" t="str">
        <f t="shared" si="9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77">
        <v>8</v>
      </c>
      <c r="Q10" s="78">
        <v>1</v>
      </c>
      <c r="R10" s="78">
        <v>0</v>
      </c>
      <c r="S10" s="78">
        <v>0</v>
      </c>
      <c r="T10" s="78">
        <v>0</v>
      </c>
      <c r="U10" s="75"/>
      <c r="V10" s="75"/>
      <c r="W10" s="75">
        <v>1</v>
      </c>
      <c r="X10" s="75">
        <v>1</v>
      </c>
      <c r="Y10" s="75"/>
      <c r="Z10" s="75"/>
      <c r="AA10" s="75"/>
      <c r="AB10" s="75"/>
      <c r="AC10" s="75"/>
      <c r="AD10" s="75"/>
      <c r="AE10" s="75"/>
      <c r="AF10" s="75"/>
      <c r="AG10" s="76"/>
      <c r="AH10" s="36"/>
      <c r="AI10" s="36"/>
      <c r="AJ10" s="36"/>
      <c r="AK10" s="36"/>
      <c r="AL10" s="36"/>
      <c r="AM10" s="36"/>
    </row>
    <row r="11" spans="1:40" x14ac:dyDescent="0.45">
      <c r="A11" s="57">
        <v>10</v>
      </c>
      <c r="B11" s="57" t="s">
        <v>84</v>
      </c>
      <c r="C11" s="72"/>
      <c r="D11" s="73">
        <v>4</v>
      </c>
      <c r="E11" s="74">
        <v>4</v>
      </c>
      <c r="F11" s="59" t="str">
        <f t="shared" si="8"/>
        <v/>
      </c>
      <c r="G11" s="59" t="str">
        <f t="shared" si="9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81">
        <v>9</v>
      </c>
      <c r="Q11" s="82">
        <v>1</v>
      </c>
      <c r="R11" s="82">
        <v>0</v>
      </c>
      <c r="S11" s="82">
        <v>0</v>
      </c>
      <c r="T11" s="82">
        <v>1</v>
      </c>
      <c r="U11" s="79"/>
      <c r="V11" s="79"/>
      <c r="W11" s="79">
        <v>1</v>
      </c>
      <c r="X11" s="79">
        <v>1</v>
      </c>
      <c r="Y11" s="79"/>
      <c r="Z11" s="79"/>
      <c r="AA11" s="79"/>
      <c r="AB11" s="79"/>
      <c r="AC11" s="79"/>
      <c r="AD11" s="79"/>
      <c r="AE11" s="79"/>
      <c r="AF11" s="79"/>
      <c r="AG11" s="80"/>
      <c r="AH11" s="58"/>
      <c r="AI11" s="58"/>
      <c r="AJ11" s="58"/>
      <c r="AK11" s="58"/>
      <c r="AL11" s="58"/>
      <c r="AM11" s="58"/>
    </row>
    <row r="12" spans="1:40" x14ac:dyDescent="0.45">
      <c r="A12" s="35">
        <v>11</v>
      </c>
      <c r="B12" s="31" t="s">
        <v>85</v>
      </c>
      <c r="C12" s="71"/>
      <c r="D12" s="71">
        <v>2</v>
      </c>
      <c r="E12" s="70">
        <v>4</v>
      </c>
      <c r="F12" s="20" t="str">
        <f t="shared" si="8"/>
        <v/>
      </c>
      <c r="G12" s="20" t="str">
        <f t="shared" si="9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77">
        <v>11</v>
      </c>
      <c r="Q12" s="78">
        <v>1</v>
      </c>
      <c r="R12" s="78">
        <v>0</v>
      </c>
      <c r="S12" s="78">
        <v>1</v>
      </c>
      <c r="T12" s="78">
        <v>1</v>
      </c>
      <c r="U12" s="75"/>
      <c r="V12" s="75"/>
      <c r="W12" s="75">
        <v>1</v>
      </c>
      <c r="X12" s="75">
        <v>1</v>
      </c>
      <c r="Y12" s="75"/>
      <c r="Z12" s="75"/>
      <c r="AA12" s="75"/>
      <c r="AB12" s="75"/>
      <c r="AC12" s="75"/>
      <c r="AD12" s="75"/>
      <c r="AE12" s="75"/>
      <c r="AF12" s="75"/>
      <c r="AG12" s="76"/>
      <c r="AH12" s="36"/>
      <c r="AI12" s="36"/>
      <c r="AJ12" s="36"/>
      <c r="AK12" s="36"/>
      <c r="AL12" s="36"/>
      <c r="AM12" s="36"/>
    </row>
    <row r="13" spans="1:40" x14ac:dyDescent="0.45">
      <c r="A13" s="57">
        <v>12</v>
      </c>
      <c r="B13" s="57" t="s">
        <v>86</v>
      </c>
      <c r="C13" s="72">
        <v>0</v>
      </c>
      <c r="D13" s="73">
        <v>1</v>
      </c>
      <c r="E13" s="74">
        <v>4</v>
      </c>
      <c r="F13" s="59">
        <f t="shared" si="8"/>
        <v>0</v>
      </c>
      <c r="G13" s="59">
        <f t="shared" si="9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81">
        <v>0</v>
      </c>
      <c r="Q13" s="82">
        <v>0</v>
      </c>
      <c r="R13" s="82">
        <v>0</v>
      </c>
      <c r="S13" s="82">
        <v>0</v>
      </c>
      <c r="T13" s="82">
        <v>0</v>
      </c>
      <c r="U13" s="79"/>
      <c r="V13" s="79"/>
      <c r="W13" s="79">
        <v>1</v>
      </c>
      <c r="X13" s="79">
        <v>1</v>
      </c>
      <c r="Y13" s="79"/>
      <c r="Z13" s="79"/>
      <c r="AA13" s="79"/>
      <c r="AB13" s="79"/>
      <c r="AC13" s="79"/>
      <c r="AD13" s="79"/>
      <c r="AE13" s="79"/>
      <c r="AF13" s="79"/>
      <c r="AG13" s="80"/>
      <c r="AH13" s="58"/>
      <c r="AI13" s="58"/>
      <c r="AJ13" s="58"/>
      <c r="AK13" s="58"/>
      <c r="AL13" s="58"/>
      <c r="AM13" s="58"/>
    </row>
    <row r="14" spans="1:40" x14ac:dyDescent="0.45">
      <c r="A14" s="35">
        <v>13</v>
      </c>
      <c r="B14" s="31" t="s">
        <v>87</v>
      </c>
      <c r="C14" s="71">
        <v>0</v>
      </c>
      <c r="D14" s="71">
        <v>5</v>
      </c>
      <c r="E14" s="70">
        <v>4</v>
      </c>
      <c r="F14" s="20">
        <f t="shared" si="8"/>
        <v>0</v>
      </c>
      <c r="G14" s="20">
        <f t="shared" si="9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77">
        <v>2</v>
      </c>
      <c r="Q14" s="78">
        <v>0</v>
      </c>
      <c r="R14" s="78">
        <v>0</v>
      </c>
      <c r="S14" s="78">
        <v>1</v>
      </c>
      <c r="T14" s="78">
        <v>0</v>
      </c>
      <c r="U14" s="75"/>
      <c r="V14" s="75"/>
      <c r="W14" s="75">
        <v>1</v>
      </c>
      <c r="X14" s="75">
        <v>1</v>
      </c>
      <c r="Y14" s="75"/>
      <c r="Z14" s="75"/>
      <c r="AA14" s="75"/>
      <c r="AB14" s="75"/>
      <c r="AC14" s="75"/>
      <c r="AD14" s="75"/>
      <c r="AE14" s="75"/>
      <c r="AF14" s="75"/>
      <c r="AG14" s="76"/>
      <c r="AH14" s="36"/>
      <c r="AI14" s="36"/>
      <c r="AJ14" s="36"/>
      <c r="AK14" s="36"/>
      <c r="AL14" s="36"/>
      <c r="AM14" s="36"/>
    </row>
    <row r="15" spans="1:40" x14ac:dyDescent="0.45">
      <c r="A15" s="57">
        <v>14</v>
      </c>
      <c r="B15" s="57" t="s">
        <v>88</v>
      </c>
      <c r="C15" s="72">
        <v>32</v>
      </c>
      <c r="D15" s="73">
        <v>5</v>
      </c>
      <c r="E15" s="74">
        <v>4</v>
      </c>
      <c r="F15" s="59">
        <f t="shared" si="8"/>
        <v>1</v>
      </c>
      <c r="G15" s="59">
        <f t="shared" si="9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81">
        <v>1</v>
      </c>
      <c r="Q15" s="82">
        <v>0</v>
      </c>
      <c r="R15" s="82">
        <v>0</v>
      </c>
      <c r="S15" s="82">
        <v>0</v>
      </c>
      <c r="T15" s="82">
        <v>1</v>
      </c>
      <c r="U15" s="79"/>
      <c r="V15" s="79"/>
      <c r="W15" s="79">
        <v>1</v>
      </c>
      <c r="X15" s="79">
        <v>1</v>
      </c>
      <c r="Y15" s="79"/>
      <c r="Z15" s="79"/>
      <c r="AA15" s="79"/>
      <c r="AB15" s="79"/>
      <c r="AC15" s="79"/>
      <c r="AD15" s="79"/>
      <c r="AE15" s="79"/>
      <c r="AF15" s="79"/>
      <c r="AG15" s="80"/>
      <c r="AH15" s="58"/>
      <c r="AI15" s="58"/>
      <c r="AJ15" s="58"/>
      <c r="AK15" s="58"/>
      <c r="AL15" s="58"/>
      <c r="AM15" s="58"/>
    </row>
    <row r="16" spans="1:40" x14ac:dyDescent="0.45">
      <c r="A16" s="35">
        <v>15</v>
      </c>
      <c r="B16" s="31" t="s">
        <v>89</v>
      </c>
      <c r="C16" s="71"/>
      <c r="D16" s="71">
        <v>2</v>
      </c>
      <c r="E16" s="70">
        <v>0</v>
      </c>
      <c r="F16" s="20" t="str">
        <f t="shared" si="8"/>
        <v/>
      </c>
      <c r="G16" s="20" t="str">
        <f t="shared" si="9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77">
        <v>5</v>
      </c>
      <c r="Q16" s="78">
        <v>0</v>
      </c>
      <c r="R16" s="78">
        <v>1</v>
      </c>
      <c r="S16" s="78">
        <v>0</v>
      </c>
      <c r="T16" s="78">
        <v>1</v>
      </c>
      <c r="U16" s="75">
        <v>1</v>
      </c>
      <c r="V16" s="75"/>
      <c r="W16" s="75">
        <v>1</v>
      </c>
      <c r="X16" s="75">
        <v>1</v>
      </c>
      <c r="Y16" s="75"/>
      <c r="Z16" s="75"/>
      <c r="AA16" s="75"/>
      <c r="AB16" s="75"/>
      <c r="AC16" s="75"/>
      <c r="AD16" s="75"/>
      <c r="AE16" s="75"/>
      <c r="AF16" s="75"/>
      <c r="AG16" s="76"/>
      <c r="AH16" s="36"/>
      <c r="AI16" s="36"/>
      <c r="AJ16" s="36"/>
      <c r="AK16" s="36"/>
      <c r="AL16" s="36"/>
      <c r="AM16" s="36"/>
    </row>
    <row r="17" spans="1:39" x14ac:dyDescent="0.45">
      <c r="A17" s="57">
        <v>16</v>
      </c>
      <c r="B17" s="57" t="s">
        <v>65</v>
      </c>
      <c r="C17" s="72"/>
      <c r="D17" s="73">
        <v>2</v>
      </c>
      <c r="E17" s="74">
        <v>8</v>
      </c>
      <c r="F17" s="59" t="str">
        <f t="shared" si="8"/>
        <v/>
      </c>
      <c r="G17" s="59" t="str">
        <f t="shared" si="9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81">
        <v>5</v>
      </c>
      <c r="Q17" s="82">
        <v>0</v>
      </c>
      <c r="R17" s="82">
        <v>1</v>
      </c>
      <c r="S17" s="82">
        <v>0</v>
      </c>
      <c r="T17" s="82">
        <v>1</v>
      </c>
      <c r="U17" s="79"/>
      <c r="V17" s="79">
        <v>1</v>
      </c>
      <c r="W17" s="79">
        <v>1</v>
      </c>
      <c r="X17" s="79"/>
      <c r="Y17" s="79"/>
      <c r="Z17" s="79">
        <v>1</v>
      </c>
      <c r="AA17" s="79"/>
      <c r="AB17" s="79"/>
      <c r="AC17" s="79"/>
      <c r="AD17" s="79"/>
      <c r="AE17" s="79"/>
      <c r="AF17" s="79"/>
      <c r="AG17" s="80"/>
      <c r="AH17" s="58"/>
      <c r="AI17" s="58"/>
      <c r="AJ17" s="58"/>
      <c r="AK17" s="58"/>
      <c r="AL17" s="58"/>
      <c r="AM17" s="58"/>
    </row>
    <row r="18" spans="1:39" x14ac:dyDescent="0.45">
      <c r="A18" s="35">
        <v>17</v>
      </c>
      <c r="B18" s="31" t="s">
        <v>66</v>
      </c>
      <c r="C18" s="71">
        <v>0</v>
      </c>
      <c r="D18" s="71">
        <v>0</v>
      </c>
      <c r="E18" s="70" t="s">
        <v>117</v>
      </c>
      <c r="F18" s="20">
        <f t="shared" si="8"/>
        <v>0</v>
      </c>
      <c r="G18" s="20">
        <f t="shared" si="9"/>
        <v>0</v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77"/>
      <c r="Q18" s="78" t="s">
        <v>119</v>
      </c>
      <c r="R18" s="78" t="s">
        <v>119</v>
      </c>
      <c r="S18" s="78" t="s">
        <v>119</v>
      </c>
      <c r="T18" s="78" t="s">
        <v>119</v>
      </c>
      <c r="U18" s="75"/>
      <c r="V18" s="75"/>
      <c r="W18" s="75"/>
      <c r="X18" s="75"/>
      <c r="Y18" s="75">
        <v>1</v>
      </c>
      <c r="Z18" s="75"/>
      <c r="AA18" s="75"/>
      <c r="AB18" s="75"/>
      <c r="AC18" s="75"/>
      <c r="AD18" s="75"/>
      <c r="AE18" s="75"/>
      <c r="AF18" s="75"/>
      <c r="AG18" s="76"/>
      <c r="AH18" s="36"/>
      <c r="AI18" s="36"/>
      <c r="AJ18" s="36"/>
      <c r="AK18" s="36"/>
      <c r="AL18" s="36"/>
      <c r="AM18" s="36"/>
    </row>
    <row r="19" spans="1:39" x14ac:dyDescent="0.45">
      <c r="A19" s="57">
        <v>18</v>
      </c>
      <c r="B19" s="57" t="s">
        <v>71</v>
      </c>
      <c r="C19" s="72"/>
      <c r="D19" s="73">
        <v>0</v>
      </c>
      <c r="E19" s="74">
        <v>18</v>
      </c>
      <c r="F19" s="59" t="str">
        <f t="shared" si="8"/>
        <v/>
      </c>
      <c r="G19" s="59" t="str">
        <f t="shared" si="9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81">
        <v>6</v>
      </c>
      <c r="Q19" s="82">
        <v>0</v>
      </c>
      <c r="R19" s="82">
        <v>1</v>
      </c>
      <c r="S19" s="82">
        <v>1</v>
      </c>
      <c r="T19" s="82">
        <v>0</v>
      </c>
      <c r="U19" s="79"/>
      <c r="V19" s="79"/>
      <c r="W19" s="79"/>
      <c r="X19" s="79"/>
      <c r="Y19" s="79"/>
      <c r="Z19" s="79"/>
      <c r="AA19" s="79">
        <v>1</v>
      </c>
      <c r="AB19" s="79"/>
      <c r="AC19" s="79"/>
      <c r="AD19" s="79"/>
      <c r="AE19" s="79"/>
      <c r="AF19" s="79"/>
      <c r="AG19" s="80"/>
      <c r="AH19" s="58"/>
      <c r="AI19" s="58"/>
      <c r="AJ19" s="58"/>
      <c r="AK19" s="58"/>
      <c r="AL19" s="58"/>
      <c r="AM19" s="58"/>
    </row>
    <row r="20" spans="1:39" x14ac:dyDescent="0.45">
      <c r="A20" s="35">
        <v>19</v>
      </c>
      <c r="B20" s="31" t="s">
        <v>72</v>
      </c>
      <c r="C20" s="71"/>
      <c r="D20" s="71">
        <v>1</v>
      </c>
      <c r="E20" s="70">
        <v>18</v>
      </c>
      <c r="F20" s="20" t="str">
        <f t="shared" si="8"/>
        <v/>
      </c>
      <c r="G20" s="20" t="str">
        <f t="shared" si="9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77">
        <v>6</v>
      </c>
      <c r="Q20" s="78">
        <v>0</v>
      </c>
      <c r="R20" s="78">
        <v>1</v>
      </c>
      <c r="S20" s="78">
        <v>1</v>
      </c>
      <c r="T20" s="78">
        <v>0</v>
      </c>
      <c r="U20" s="75"/>
      <c r="V20" s="75"/>
      <c r="W20" s="75"/>
      <c r="X20" s="75"/>
      <c r="Y20" s="75"/>
      <c r="Z20" s="75"/>
      <c r="AA20" s="75"/>
      <c r="AB20" s="75">
        <v>1</v>
      </c>
      <c r="AC20" s="75"/>
      <c r="AD20" s="75"/>
      <c r="AE20" s="75"/>
      <c r="AF20" s="75"/>
      <c r="AG20" s="76"/>
      <c r="AH20" s="36"/>
      <c r="AI20" s="36"/>
      <c r="AJ20" s="36"/>
      <c r="AK20" s="36"/>
      <c r="AL20" s="36"/>
      <c r="AM20" s="36"/>
    </row>
    <row r="21" spans="1:39" x14ac:dyDescent="0.45">
      <c r="A21" s="57">
        <v>20</v>
      </c>
      <c r="B21" s="57" t="s">
        <v>90</v>
      </c>
      <c r="C21" s="72"/>
      <c r="D21" s="73"/>
      <c r="E21" s="74" t="s">
        <v>118</v>
      </c>
      <c r="F21" s="59" t="str">
        <f t="shared" si="8"/>
        <v/>
      </c>
      <c r="G21" s="59" t="str">
        <f t="shared" si="9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81"/>
      <c r="Q21" s="82" t="s">
        <v>119</v>
      </c>
      <c r="R21" s="82" t="s">
        <v>119</v>
      </c>
      <c r="S21" s="82" t="s">
        <v>119</v>
      </c>
      <c r="T21" s="82" t="s">
        <v>119</v>
      </c>
      <c r="U21" s="79"/>
      <c r="V21" s="79"/>
      <c r="W21" s="79"/>
      <c r="X21" s="79">
        <v>1</v>
      </c>
      <c r="Y21" s="79"/>
      <c r="Z21" s="79"/>
      <c r="AA21" s="79"/>
      <c r="AB21" s="79"/>
      <c r="AC21" s="79">
        <v>1</v>
      </c>
      <c r="AD21" s="79"/>
      <c r="AE21" s="79"/>
      <c r="AF21" s="79"/>
      <c r="AG21" s="80"/>
      <c r="AH21" s="58"/>
      <c r="AI21" s="58"/>
      <c r="AJ21" s="58"/>
      <c r="AK21" s="58"/>
      <c r="AL21" s="58"/>
      <c r="AM21" s="58"/>
    </row>
    <row r="22" spans="1:39" x14ac:dyDescent="0.45">
      <c r="A22" s="35">
        <v>21</v>
      </c>
      <c r="B22" s="31" t="s">
        <v>91</v>
      </c>
      <c r="C22" s="71"/>
      <c r="D22" s="71">
        <v>0</v>
      </c>
      <c r="E22" s="70">
        <v>19</v>
      </c>
      <c r="F22" s="20" t="str">
        <f t="shared" si="8"/>
        <v/>
      </c>
      <c r="G22" s="20" t="str">
        <f t="shared" si="9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77">
        <v>6</v>
      </c>
      <c r="Q22" s="78">
        <v>0</v>
      </c>
      <c r="R22" s="78">
        <v>1</v>
      </c>
      <c r="S22" s="78">
        <v>1</v>
      </c>
      <c r="T22" s="78">
        <v>0</v>
      </c>
      <c r="U22" s="75"/>
      <c r="V22" s="75"/>
      <c r="W22" s="75">
        <v>1</v>
      </c>
      <c r="X22" s="75">
        <v>1</v>
      </c>
      <c r="Y22" s="75"/>
      <c r="Z22" s="75"/>
      <c r="AA22" s="75"/>
      <c r="AB22" s="75"/>
      <c r="AC22" s="75"/>
      <c r="AD22" s="75">
        <v>1</v>
      </c>
      <c r="AE22" s="75"/>
      <c r="AF22" s="75"/>
      <c r="AG22" s="76"/>
      <c r="AH22" s="36"/>
      <c r="AI22" s="36"/>
      <c r="AJ22" s="36"/>
      <c r="AK22" s="36"/>
      <c r="AL22" s="36"/>
      <c r="AM22" s="36"/>
    </row>
    <row r="23" spans="1:39" x14ac:dyDescent="0.45">
      <c r="A23" s="57">
        <v>22</v>
      </c>
      <c r="B23" s="57" t="s">
        <v>112</v>
      </c>
      <c r="C23" s="72"/>
      <c r="D23" s="73">
        <v>6</v>
      </c>
      <c r="E23" s="74" t="s">
        <v>117</v>
      </c>
      <c r="F23" s="59" t="str">
        <f t="shared" si="8"/>
        <v/>
      </c>
      <c r="G23" s="59" t="str">
        <f t="shared" si="9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81">
        <v>8</v>
      </c>
      <c r="Q23" s="82">
        <v>1</v>
      </c>
      <c r="R23" s="82">
        <v>0</v>
      </c>
      <c r="S23" s="82">
        <v>0</v>
      </c>
      <c r="T23" s="82">
        <v>0</v>
      </c>
      <c r="U23" s="79"/>
      <c r="V23" s="79"/>
      <c r="W23" s="79">
        <v>1</v>
      </c>
      <c r="X23" s="79"/>
      <c r="Y23" s="79"/>
      <c r="Z23" s="79"/>
      <c r="AA23" s="79"/>
      <c r="AB23" s="79"/>
      <c r="AC23" s="79"/>
      <c r="AD23" s="79"/>
      <c r="AE23" s="79">
        <v>1</v>
      </c>
      <c r="AF23" s="79"/>
      <c r="AG23" s="80"/>
      <c r="AH23" s="58"/>
      <c r="AI23" s="58"/>
      <c r="AJ23" s="58"/>
      <c r="AK23" s="58"/>
      <c r="AL23" s="58"/>
      <c r="AM23" s="58"/>
    </row>
    <row r="24" spans="1:39" x14ac:dyDescent="0.45">
      <c r="A24" s="35">
        <v>23</v>
      </c>
      <c r="B24" s="69" t="s">
        <v>113</v>
      </c>
      <c r="C24" s="71"/>
      <c r="D24" s="71">
        <v>7</v>
      </c>
      <c r="E24" s="70" t="s">
        <v>117</v>
      </c>
      <c r="F24" s="20" t="str">
        <f t="shared" si="8"/>
        <v/>
      </c>
      <c r="G24" s="20" t="str">
        <f t="shared" si="9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77">
        <v>7</v>
      </c>
      <c r="Q24" s="78">
        <v>0</v>
      </c>
      <c r="R24" s="78">
        <v>1</v>
      </c>
      <c r="S24" s="78">
        <v>1</v>
      </c>
      <c r="T24" s="78">
        <v>1</v>
      </c>
      <c r="U24" s="75"/>
      <c r="V24" s="75"/>
      <c r="W24" s="75">
        <v>1</v>
      </c>
      <c r="X24" s="75"/>
      <c r="Y24" s="75"/>
      <c r="Z24" s="75"/>
      <c r="AA24" s="75"/>
      <c r="AB24" s="75"/>
      <c r="AC24" s="75"/>
      <c r="AD24" s="75"/>
      <c r="AE24" s="75"/>
      <c r="AF24" s="75"/>
      <c r="AG24" s="76"/>
      <c r="AH24" s="36"/>
      <c r="AI24" s="36">
        <v>1</v>
      </c>
      <c r="AJ24" s="36"/>
      <c r="AK24" s="36"/>
      <c r="AL24" s="36"/>
      <c r="AM24" s="36"/>
    </row>
    <row r="25" spans="1:39" x14ac:dyDescent="0.45">
      <c r="A25" s="57">
        <v>24</v>
      </c>
      <c r="B25" s="57" t="s">
        <v>114</v>
      </c>
      <c r="C25" s="72">
        <v>2</v>
      </c>
      <c r="D25" s="73">
        <v>0</v>
      </c>
      <c r="E25" s="74" t="s">
        <v>117</v>
      </c>
      <c r="F25" s="59">
        <f t="shared" si="8"/>
        <v>0</v>
      </c>
      <c r="G25" s="59">
        <f t="shared" si="9"/>
        <v>0</v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81"/>
      <c r="Q25" s="82" t="s">
        <v>119</v>
      </c>
      <c r="R25" s="82" t="s">
        <v>119</v>
      </c>
      <c r="S25" s="82" t="s">
        <v>119</v>
      </c>
      <c r="T25" s="82" t="s">
        <v>119</v>
      </c>
      <c r="U25" s="79"/>
      <c r="V25" s="79"/>
      <c r="W25" s="79"/>
      <c r="X25" s="79">
        <v>1</v>
      </c>
      <c r="Y25" s="79"/>
      <c r="Z25" s="79"/>
      <c r="AA25" s="79"/>
      <c r="AB25" s="79"/>
      <c r="AC25" s="79"/>
      <c r="AD25" s="79"/>
      <c r="AE25" s="79"/>
      <c r="AF25" s="79"/>
      <c r="AG25" s="80"/>
      <c r="AH25" s="58"/>
      <c r="AI25" s="58"/>
      <c r="AJ25" s="58"/>
      <c r="AK25" s="58"/>
      <c r="AL25" s="58"/>
      <c r="AM25" s="58"/>
    </row>
    <row r="26" spans="1:39" x14ac:dyDescent="0.45">
      <c r="A26" s="35">
        <v>25</v>
      </c>
      <c r="B26" s="31" t="s">
        <v>120</v>
      </c>
      <c r="C26" s="71">
        <v>32</v>
      </c>
      <c r="D26" s="71">
        <v>5</v>
      </c>
      <c r="E26" s="70" t="s">
        <v>124</v>
      </c>
      <c r="F26" s="20">
        <f t="shared" si="8"/>
        <v>1</v>
      </c>
      <c r="G26" s="20">
        <f t="shared" si="9"/>
        <v>0</v>
      </c>
      <c r="H26" s="20">
        <f t="shared" si="0"/>
        <v>1</v>
      </c>
      <c r="I26" s="20">
        <f t="shared" si="1"/>
        <v>0</v>
      </c>
      <c r="J26" s="29">
        <f t="shared" si="2"/>
        <v>1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1</v>
      </c>
      <c r="Q26" s="39">
        <f t="shared" ref="Q26:Q35" si="10">IF(ISNUMBER($P26),IF(MOD($P26,16)/8&gt;=1,1,0),"X")</f>
        <v>0</v>
      </c>
      <c r="R26" s="39">
        <f t="shared" ref="R26:R35" si="11">IF(ISNUMBER($P26),IF(MOD($P26,8)/4&gt;=1,1,0),"X")</f>
        <v>0</v>
      </c>
      <c r="S26" s="39">
        <f t="shared" ref="S26:S35" si="12">IF(ISNUMBER($P26),IF(MOD($P26,4)/2&gt;=1,1,0),"X")</f>
        <v>0</v>
      </c>
      <c r="T26" s="39">
        <f t="shared" ref="T26:T35" si="13">IF(ISNUMBER($P26),IF(MOD($P26,2)&gt;=1,1,0),"X")</f>
        <v>1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/>
      <c r="AJ26" s="36"/>
      <c r="AK26" s="36"/>
      <c r="AL26" s="36"/>
      <c r="AM26" s="36"/>
    </row>
    <row r="27" spans="1:39" x14ac:dyDescent="0.45">
      <c r="A27" s="57">
        <v>26</v>
      </c>
      <c r="B27" s="57" t="s">
        <v>121</v>
      </c>
      <c r="C27" s="72"/>
      <c r="D27" s="73"/>
      <c r="E27" s="74" t="s">
        <v>125</v>
      </c>
      <c r="F27" s="59" t="str">
        <f t="shared" si="8"/>
        <v/>
      </c>
      <c r="G27" s="59" t="str">
        <f t="shared" si="9"/>
        <v/>
      </c>
      <c r="H27" s="59" t="str">
        <f t="shared" si="0"/>
        <v/>
      </c>
      <c r="I27" s="59" t="str">
        <f t="shared" si="1"/>
        <v/>
      </c>
      <c r="J27" s="61" t="str">
        <f t="shared" si="2"/>
        <v/>
      </c>
      <c r="K27" s="60">
        <f t="shared" si="3"/>
        <v>0</v>
      </c>
      <c r="L27" s="60">
        <f t="shared" si="4"/>
        <v>1</v>
      </c>
      <c r="M27" s="60">
        <f t="shared" si="5"/>
        <v>1</v>
      </c>
      <c r="N27" s="60">
        <f t="shared" si="6"/>
        <v>0</v>
      </c>
      <c r="O27" s="65">
        <f t="shared" si="7"/>
        <v>1</v>
      </c>
      <c r="P27" s="62">
        <v>8</v>
      </c>
      <c r="Q27" s="63">
        <f t="shared" si="10"/>
        <v>1</v>
      </c>
      <c r="R27" s="63">
        <f t="shared" si="11"/>
        <v>0</v>
      </c>
      <c r="S27" s="63">
        <f t="shared" si="12"/>
        <v>0</v>
      </c>
      <c r="T27" s="63">
        <f t="shared" si="13"/>
        <v>0</v>
      </c>
      <c r="U27" s="57"/>
      <c r="V27" s="57"/>
      <c r="W27" s="57">
        <v>1</v>
      </c>
      <c r="X27" s="57">
        <v>1</v>
      </c>
      <c r="Y27" s="57"/>
      <c r="Z27" s="57"/>
      <c r="AA27" s="57"/>
      <c r="AB27" s="57"/>
      <c r="AC27" s="57"/>
      <c r="AD27" s="57"/>
      <c r="AE27" s="57"/>
      <c r="AF27" s="57">
        <v>1</v>
      </c>
      <c r="AG27" s="58"/>
      <c r="AH27" s="58"/>
      <c r="AI27" s="58"/>
      <c r="AJ27" s="58"/>
      <c r="AK27" s="58"/>
      <c r="AL27" s="58"/>
      <c r="AM27" s="58"/>
    </row>
    <row r="28" spans="1:39" x14ac:dyDescent="0.45">
      <c r="A28" s="35">
        <v>27</v>
      </c>
      <c r="B28" s="31" t="s">
        <v>122</v>
      </c>
      <c r="C28" s="71"/>
      <c r="D28" s="71">
        <v>0</v>
      </c>
      <c r="E28" s="70">
        <v>0</v>
      </c>
      <c r="F28" s="20" t="str">
        <f t="shared" si="8"/>
        <v/>
      </c>
      <c r="G28" s="20" t="str">
        <f t="shared" si="9"/>
        <v/>
      </c>
      <c r="H28" s="20">
        <f t="shared" si="0"/>
        <v>0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0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10"/>
        <v>0</v>
      </c>
      <c r="R28" s="39">
        <f t="shared" si="11"/>
        <v>1</v>
      </c>
      <c r="S28" s="39">
        <f t="shared" si="12"/>
        <v>0</v>
      </c>
      <c r="T28" s="39">
        <f t="shared" si="13"/>
        <v>1</v>
      </c>
      <c r="U28" s="31">
        <v>1</v>
      </c>
      <c r="V28" s="31"/>
      <c r="W28" s="31">
        <v>1</v>
      </c>
      <c r="X28" s="31">
        <v>1</v>
      </c>
      <c r="Y28" s="31"/>
      <c r="Z28" s="31"/>
      <c r="AA28" s="31"/>
      <c r="AB28" s="31"/>
      <c r="AC28" s="31"/>
      <c r="AD28" s="31"/>
      <c r="AE28" s="31"/>
      <c r="AF28" s="31"/>
      <c r="AG28" s="36">
        <v>1</v>
      </c>
      <c r="AH28" s="36"/>
      <c r="AI28" s="36"/>
      <c r="AJ28" s="36"/>
      <c r="AK28" s="36"/>
      <c r="AL28" s="36"/>
      <c r="AM28" s="36"/>
    </row>
    <row r="29" spans="1:39" x14ac:dyDescent="0.45">
      <c r="A29" s="57">
        <v>28</v>
      </c>
      <c r="B29" s="57" t="s">
        <v>123</v>
      </c>
      <c r="C29" s="72"/>
      <c r="D29" s="73">
        <v>7</v>
      </c>
      <c r="E29" s="74">
        <v>18</v>
      </c>
      <c r="F29" s="59" t="str">
        <f t="shared" si="8"/>
        <v/>
      </c>
      <c r="G29" s="59" t="str">
        <f t="shared" si="9"/>
        <v/>
      </c>
      <c r="H29" s="59">
        <f t="shared" si="0"/>
        <v>1</v>
      </c>
      <c r="I29" s="59">
        <f t="shared" si="1"/>
        <v>1</v>
      </c>
      <c r="J29" s="61">
        <f t="shared" si="2"/>
        <v>1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12</v>
      </c>
      <c r="Q29" s="63">
        <f t="shared" si="10"/>
        <v>1</v>
      </c>
      <c r="R29" s="63">
        <f t="shared" si="11"/>
        <v>1</v>
      </c>
      <c r="S29" s="63">
        <f t="shared" si="12"/>
        <v>0</v>
      </c>
      <c r="T29" s="63">
        <f t="shared" si="13"/>
        <v>0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/>
      <c r="AH29" s="58">
        <v>1</v>
      </c>
      <c r="AI29" s="58"/>
      <c r="AJ29" s="58"/>
      <c r="AK29" s="58"/>
      <c r="AL29" s="58"/>
      <c r="AM29" s="58"/>
    </row>
    <row r="30" spans="1:39" x14ac:dyDescent="0.45">
      <c r="A30" s="35">
        <v>29</v>
      </c>
      <c r="B30" s="31"/>
      <c r="C30" s="37"/>
      <c r="D30" s="37"/>
      <c r="E30" s="29"/>
      <c r="F30" s="20" t="str">
        <f t="shared" si="8"/>
        <v/>
      </c>
      <c r="G30" s="20" t="str">
        <f t="shared" si="9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10"/>
        <v>X</v>
      </c>
      <c r="R30" s="39" t="str">
        <f t="shared" si="11"/>
        <v>X</v>
      </c>
      <c r="S30" s="39" t="str">
        <f t="shared" si="12"/>
        <v>X</v>
      </c>
      <c r="T30" s="39" t="str">
        <f t="shared" si="13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5">
      <c r="A31" s="57">
        <v>30</v>
      </c>
      <c r="B31" s="57"/>
      <c r="C31" s="44"/>
      <c r="D31" s="59"/>
      <c r="E31" s="61"/>
      <c r="F31" s="59" t="str">
        <f t="shared" si="8"/>
        <v/>
      </c>
      <c r="G31" s="59" t="str">
        <f t="shared" si="9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10"/>
        <v>X</v>
      </c>
      <c r="R31" s="63" t="str">
        <f t="shared" si="11"/>
        <v>X</v>
      </c>
      <c r="S31" s="63" t="str">
        <f t="shared" si="12"/>
        <v>X</v>
      </c>
      <c r="T31" s="63" t="str">
        <f t="shared" si="13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5">
      <c r="A32" s="35">
        <v>31</v>
      </c>
      <c r="B32" s="31"/>
      <c r="C32" s="37"/>
      <c r="D32" s="37"/>
      <c r="E32" s="29"/>
      <c r="F32" s="20" t="str">
        <f t="shared" si="8"/>
        <v/>
      </c>
      <c r="G32" s="20" t="str">
        <f t="shared" si="9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10"/>
        <v>X</v>
      </c>
      <c r="R32" s="39" t="str">
        <f t="shared" si="11"/>
        <v>X</v>
      </c>
      <c r="S32" s="39" t="str">
        <f t="shared" si="12"/>
        <v>X</v>
      </c>
      <c r="T32" s="39" t="str">
        <f t="shared" si="13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5">
      <c r="A33" s="57">
        <v>32</v>
      </c>
      <c r="B33" s="57"/>
      <c r="C33" s="44"/>
      <c r="D33" s="59"/>
      <c r="E33" s="61"/>
      <c r="F33" s="59" t="str">
        <f t="shared" si="8"/>
        <v/>
      </c>
      <c r="G33" s="59" t="str">
        <f t="shared" si="9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10"/>
        <v>X</v>
      </c>
      <c r="R33" s="63" t="str">
        <f t="shared" si="11"/>
        <v>X</v>
      </c>
      <c r="S33" s="63" t="str">
        <f t="shared" si="12"/>
        <v>X</v>
      </c>
      <c r="T33" s="63" t="str">
        <f t="shared" si="13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5">
      <c r="A34" s="35">
        <v>33</v>
      </c>
      <c r="B34" s="31"/>
      <c r="C34" s="37"/>
      <c r="D34" s="37"/>
      <c r="E34" s="29"/>
      <c r="F34" s="20" t="str">
        <f t="shared" si="8"/>
        <v/>
      </c>
      <c r="G34" s="20" t="str">
        <f t="shared" si="9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10"/>
        <v>X</v>
      </c>
      <c r="R34" s="39" t="str">
        <f t="shared" si="11"/>
        <v>X</v>
      </c>
      <c r="S34" s="39" t="str">
        <f t="shared" si="12"/>
        <v>X</v>
      </c>
      <c r="T34" s="39" t="str">
        <f t="shared" si="13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5">
      <c r="A35" s="57">
        <v>34</v>
      </c>
      <c r="B35" s="57"/>
      <c r="C35" s="44"/>
      <c r="D35" s="59"/>
      <c r="E35" s="61"/>
      <c r="F35" s="59" t="str">
        <f t="shared" si="8"/>
        <v/>
      </c>
      <c r="G35" s="59" t="str">
        <f t="shared" si="9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10"/>
        <v>X</v>
      </c>
      <c r="R35" s="63" t="str">
        <f t="shared" si="11"/>
        <v>X</v>
      </c>
      <c r="S35" s="63" t="str">
        <f t="shared" si="12"/>
        <v>X</v>
      </c>
      <c r="T35" s="63" t="str">
        <f t="shared" si="13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5">
      <c r="A36" s="35"/>
      <c r="B36" s="31"/>
      <c r="C36" s="37"/>
      <c r="D36" s="37"/>
      <c r="E36" s="29"/>
      <c r="F36" s="20" t="str">
        <f t="shared" si="8"/>
        <v/>
      </c>
      <c r="G36" s="20" t="str">
        <f t="shared" si="9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5">
      <c r="A37" s="57"/>
      <c r="B37" s="57"/>
      <c r="C37" s="44"/>
      <c r="D37" s="59"/>
      <c r="E37" s="61"/>
      <c r="F37" s="59" t="str">
        <f t="shared" si="8"/>
        <v/>
      </c>
      <c r="G37" s="59" t="str">
        <f t="shared" si="9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5">
      <c r="A38" s="35"/>
      <c r="B38" s="31"/>
      <c r="C38" s="37"/>
      <c r="D38" s="37"/>
      <c r="E38" s="29"/>
      <c r="F38" s="20" t="str">
        <f t="shared" si="8"/>
        <v/>
      </c>
      <c r="G38" s="20" t="str">
        <f t="shared" si="9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5">
      <c r="A39" s="57"/>
      <c r="B39" s="57"/>
      <c r="C39" s="44"/>
      <c r="D39" s="59"/>
      <c r="E39" s="61"/>
      <c r="F39" s="59" t="str">
        <f t="shared" si="8"/>
        <v/>
      </c>
      <c r="G39" s="59" t="str">
        <f t="shared" si="9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5">
      <c r="A40" s="35"/>
      <c r="B40" s="31"/>
      <c r="C40" s="37"/>
      <c r="D40" s="37"/>
      <c r="E40" s="29"/>
      <c r="F40" s="20" t="str">
        <f t="shared" si="8"/>
        <v/>
      </c>
      <c r="G40" s="20" t="str">
        <f t="shared" si="9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5">
      <c r="A41" s="57"/>
      <c r="B41" s="57"/>
      <c r="C41" s="44"/>
      <c r="D41" s="59"/>
      <c r="E41" s="61"/>
      <c r="F41" s="59" t="str">
        <f t="shared" si="8"/>
        <v/>
      </c>
      <c r="G41" s="59" t="str">
        <f t="shared" si="9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5">
      <c r="A42" s="35"/>
      <c r="B42" s="31"/>
      <c r="C42" s="37"/>
      <c r="D42" s="37"/>
      <c r="E42" s="29"/>
      <c r="F42" s="20" t="str">
        <f t="shared" si="8"/>
        <v/>
      </c>
      <c r="G42" s="20" t="str">
        <f t="shared" si="9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5">
      <c r="A43" s="57"/>
      <c r="B43" s="57"/>
      <c r="C43" s="44"/>
      <c r="D43" s="59"/>
      <c r="E43" s="61"/>
      <c r="F43" s="59" t="str">
        <f t="shared" si="8"/>
        <v/>
      </c>
      <c r="G43" s="59" t="str">
        <f t="shared" si="9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5">
      <c r="A44" s="35"/>
      <c r="B44" s="31"/>
      <c r="C44" s="37"/>
      <c r="D44" s="37"/>
      <c r="E44" s="29"/>
      <c r="F44" s="20" t="str">
        <f t="shared" si="8"/>
        <v/>
      </c>
      <c r="G44" s="20" t="str">
        <f t="shared" si="9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5">
      <c r="A45" s="57"/>
      <c r="B45" s="57"/>
      <c r="C45" s="44"/>
      <c r="D45" s="59"/>
      <c r="E45" s="61"/>
      <c r="F45" s="59" t="str">
        <f t="shared" si="8"/>
        <v/>
      </c>
      <c r="G45" s="59" t="str">
        <f t="shared" si="9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5">
      <c r="A46" s="35"/>
      <c r="B46" s="31"/>
      <c r="C46" s="37"/>
      <c r="D46" s="37"/>
      <c r="E46" s="29"/>
      <c r="F46" s="20" t="str">
        <f t="shared" si="8"/>
        <v/>
      </c>
      <c r="G46" s="20" t="str">
        <f t="shared" si="9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5">
      <c r="A47" s="57"/>
      <c r="B47" s="57"/>
      <c r="C47" s="44"/>
      <c r="D47" s="59"/>
      <c r="E47" s="61"/>
      <c r="F47" s="59" t="str">
        <f t="shared" si="8"/>
        <v/>
      </c>
      <c r="G47" s="59" t="str">
        <f t="shared" si="9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5">
      <c r="A48" s="35"/>
      <c r="B48" s="31"/>
      <c r="C48" s="37"/>
      <c r="D48" s="37"/>
      <c r="E48" s="29"/>
      <c r="F48" s="20" t="str">
        <f t="shared" si="8"/>
        <v/>
      </c>
      <c r="G48" s="20" t="str">
        <f t="shared" si="9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5">
      <c r="A49" s="57"/>
      <c r="B49" s="57"/>
      <c r="C49" s="44"/>
      <c r="D49" s="59"/>
      <c r="E49" s="61"/>
      <c r="F49" s="59" t="str">
        <f t="shared" si="8"/>
        <v/>
      </c>
      <c r="G49" s="59" t="str">
        <f t="shared" si="9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5">
      <c r="A50" s="35"/>
      <c r="B50" s="31"/>
      <c r="C50" s="37"/>
      <c r="D50" s="37"/>
      <c r="E50" s="29"/>
      <c r="F50" s="20" t="str">
        <f t="shared" si="8"/>
        <v/>
      </c>
      <c r="G50" s="20" t="str">
        <f t="shared" si="9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5">
      <c r="A51" s="57"/>
      <c r="B51" s="57"/>
      <c r="C51" s="44"/>
      <c r="D51" s="59"/>
      <c r="E51" s="61"/>
      <c r="F51" s="59" t="str">
        <f t="shared" si="8"/>
        <v/>
      </c>
      <c r="G51" s="59" t="str">
        <f t="shared" si="9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5">
      <c r="A52" s="35"/>
      <c r="B52" s="31"/>
      <c r="C52" s="37"/>
      <c r="D52" s="37"/>
      <c r="E52" s="29"/>
      <c r="F52" s="20" t="str">
        <f t="shared" si="8"/>
        <v/>
      </c>
      <c r="G52" s="20" t="str">
        <f t="shared" si="9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5">
      <c r="A53" s="57"/>
      <c r="B53" s="57"/>
      <c r="C53" s="44"/>
      <c r="D53" s="59"/>
      <c r="E53" s="61"/>
      <c r="F53" s="59" t="str">
        <f t="shared" si="8"/>
        <v/>
      </c>
      <c r="G53" s="59" t="str">
        <f t="shared" si="9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5">
      <c r="A54" s="35"/>
      <c r="B54" s="31"/>
      <c r="C54" s="37"/>
      <c r="D54" s="37"/>
      <c r="E54" s="29"/>
      <c r="F54" s="20" t="str">
        <f t="shared" si="8"/>
        <v/>
      </c>
      <c r="G54" s="20" t="str">
        <f t="shared" si="9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5">
      <c r="A55" s="57"/>
      <c r="B55" s="57"/>
      <c r="C55" s="44"/>
      <c r="D55" s="59"/>
      <c r="E55" s="61"/>
      <c r="F55" s="59" t="str">
        <f t="shared" si="8"/>
        <v/>
      </c>
      <c r="G55" s="59" t="str">
        <f t="shared" si="9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5">
      <c r="A56" s="35"/>
      <c r="B56" s="31"/>
      <c r="C56" s="37"/>
      <c r="D56" s="37"/>
      <c r="E56" s="29"/>
      <c r="F56" s="20" t="str">
        <f t="shared" si="8"/>
        <v/>
      </c>
      <c r="G56" s="20" t="str">
        <f t="shared" si="9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5">
      <c r="A57" s="57"/>
      <c r="B57" s="57"/>
      <c r="C57" s="44"/>
      <c r="D57" s="59"/>
      <c r="E57" s="61"/>
      <c r="F57" s="59" t="str">
        <f t="shared" si="8"/>
        <v/>
      </c>
      <c r="G57" s="59" t="str">
        <f t="shared" si="9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5">
      <c r="A58" s="35"/>
      <c r="B58" s="31"/>
      <c r="C58" s="37"/>
      <c r="D58" s="37"/>
      <c r="E58" s="29"/>
      <c r="F58" s="20" t="str">
        <f t="shared" si="8"/>
        <v/>
      </c>
      <c r="G58" s="20" t="str">
        <f t="shared" si="9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5">
      <c r="A59" s="57"/>
      <c r="B59" s="57"/>
      <c r="C59" s="44"/>
      <c r="D59" s="59"/>
      <c r="E59" s="61"/>
      <c r="F59" s="59" t="str">
        <f t="shared" si="8"/>
        <v/>
      </c>
      <c r="G59" s="59" t="str">
        <f t="shared" si="9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5">
      <c r="A60" s="35"/>
      <c r="B60" s="31"/>
      <c r="C60" s="37"/>
      <c r="D60" s="37"/>
      <c r="E60" s="29"/>
      <c r="F60" s="20" t="str">
        <f t="shared" si="8"/>
        <v/>
      </c>
      <c r="G60" s="20" t="str">
        <f t="shared" si="9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5">
      <c r="A61" s="57"/>
      <c r="B61" s="57"/>
      <c r="C61" s="44"/>
      <c r="D61" s="59"/>
      <c r="E61" s="61"/>
      <c r="F61" s="59" t="str">
        <f t="shared" si="8"/>
        <v/>
      </c>
      <c r="G61" s="59" t="str">
        <f t="shared" si="9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5"/>
  </sheetData>
  <protectedRanges>
    <protectedRange sqref="A1:E1048576" name="区域1" securityDescriptor=""/>
  </protectedRanges>
  <phoneticPr fontId="26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xWindow="1297" yWindow="417"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AG1:AM1048576 U26:AF1048576 U1:AF1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tabSelected="1" topLeftCell="O1" workbookViewId="0">
      <pane ySplit="1" topLeftCell="A11" activePane="bottomLeft" state="frozen"/>
      <selection pane="bottomLeft" activeCell="AH58" sqref="AH58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CSRRSI</v>
      </c>
      <c r="AE1" s="23" t="str">
        <f>真值表!AF1</f>
        <v>U_type</v>
      </c>
      <c r="AF1" s="25" t="str">
        <f>真值表!AG1</f>
        <v>Byte</v>
      </c>
      <c r="AG1" s="25" t="str">
        <f>真值表!AH1</f>
        <v>BGEU</v>
      </c>
      <c r="AH1" s="25" t="str">
        <f>真值表!AI1</f>
        <v>CSRRCI</v>
      </c>
      <c r="AI1" s="25" t="str">
        <f>真值表!AJ1</f>
        <v>XXX</v>
      </c>
      <c r="AJ1" s="25" t="str">
        <f>真值表!AK1</f>
        <v>XXX</v>
      </c>
      <c r="AK1" s="25" t="str">
        <f>真值表!AL1</f>
        <v>XXX</v>
      </c>
      <c r="AL1" s="25" t="str">
        <f>真值表!AM1</f>
        <v>XXX</v>
      </c>
    </row>
    <row r="2" spans="1:38" ht="16.5" x14ac:dyDescent="0.45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/>
      </c>
      <c r="AJ2" s="24" t="str">
        <f>IF(真值表!AK2=1,$O2&amp;"+","")</f>
        <v/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45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/>
      </c>
      <c r="AJ3" s="49" t="str">
        <f>IF(真值表!AK3=1,$O3&amp;"+","")</f>
        <v/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45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/>
      </c>
      <c r="AJ4" s="24" t="str">
        <f>IF(真值表!AK4=1,$O4&amp;"+","")</f>
        <v/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45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/>
      </c>
      <c r="AJ5" s="49" t="str">
        <f>IF(真值表!AK5=1,$O5&amp;"+","")</f>
        <v/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45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/>
      </c>
      <c r="AJ6" s="24" t="str">
        <f>IF(真值表!AK6=1,$O6&amp;"+","")</f>
        <v/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45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/>
      </c>
      <c r="AJ7" s="49" t="str">
        <f>IF(真值表!AK7=1,$O7&amp;"+","")</f>
        <v/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45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/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45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/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45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/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45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/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45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/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45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/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45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/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45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/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45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/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45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/>
      </c>
      <c r="AJ17" s="49" t="str">
        <f>IF(真值表!AK17=1,$O17&amp;"+","")</f>
        <v/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45">
      <c r="A18" s="31" t="str">
        <f>IF(ISBLANK(真值表!B18),"",真值表!B18)</f>
        <v>ecall</v>
      </c>
      <c r="B18" s="37">
        <f>IF(ISBLANK(真值表!C18),"",真值表!C18)</f>
        <v>0</v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>~F30&amp;</v>
      </c>
      <c r="F18" s="55" t="str">
        <f>IF(真值表!G18=1," "&amp;真值表!G$1&amp;"&amp;",IF(真值表!G18=0,"~"&amp;真值表!G$1&amp;"&amp;",""))</f>
        <v>~F25&amp;</v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~F30&amp;~F25&amp;~F14&amp;~F13&amp;~F12&amp;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~F30&amp;~F25&amp;~F14&amp;~F13&amp;~F12&amp;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45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>~F14&amp;~F13&amp;~F12&amp; OP6&amp; OP5&amp;~OP4&amp;~OP3&amp;~OP2+</v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/>
      </c>
      <c r="AJ19" s="49" t="str">
        <f>IF(真值表!AK19=1,$O19&amp;"+","")</f>
        <v/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45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>~F14&amp;~F13&amp; F12&amp; OP6&amp; OP5&amp;~OP4&amp;~OP3&amp;~OP2+</v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/>
      </c>
      <c r="AJ20" s="24" t="str">
        <f>IF(真值表!AK20=1,$O20&amp;"+","")</f>
        <v/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45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45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>~F14&amp;~F13&amp;~F12&amp; OP6&amp; OP5&amp;~OP4&amp;~OP3&amp; OP2+</v>
      </c>
      <c r="R22" s="24" t="str">
        <f>IF(真值表!S22=1,$O22&amp;"+","")</f>
        <v>~F14&amp;~F13&amp;~F12&amp; OP6&amp; OP5&amp;~OP4&amp;~OP3&amp; OP2+</v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>~F14&amp;~F13&amp;~F12&amp; OP6&amp; OP5&amp;~OP4&amp;~OP3&amp; OP2+</v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/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45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 xml:space="preserve"> F14&amp; F13&amp;~F12&amp; OP6&amp; OP5&amp; OP4&amp;~OP3&amp;~OP2+</v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 xml:space="preserve"> F14&amp; F13&amp;~F12&amp; OP6&amp; OP5&amp; OP4&amp;~OP3&amp;~OP2+</v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 xml:space="preserve"> F14&amp; F13&amp;~F12&amp; OP6&amp; OP5&amp; OP4&amp;~OP3&amp;~OP2+</v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/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45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 xml:space="preserve"> F14&amp; F13&amp; F12&amp; OP6&amp; OP5&amp; OP4&amp;~OP3&amp;~OP2+</v>
      </c>
      <c r="R24" s="24" t="str">
        <f>IF(真值表!S24=1,$O24&amp;"+","")</f>
        <v xml:space="preserve"> F14&amp; F13&amp; F12&amp; OP6&amp; OP5&amp; OP4&amp;~OP3&amp;~OP2+</v>
      </c>
      <c r="S24" s="24" t="str">
        <f>IF(真值表!T24=1,$O24&amp;"+","")</f>
        <v xml:space="preserve"> F14&amp; F13&amp; F12&amp; OP6&amp; OP5&amp; OP4&amp;~OP3&amp;~OP2+</v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 xml:space="preserve"> F14&amp; F13&amp; F12&amp; OP6&amp; OP5&amp; OP4&amp;~OP3&amp;~OP2+</v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/>
      </c>
      <c r="AH24" s="24" t="str">
        <f>IF(真值表!AI24=1,$O24&amp;"+","")</f>
        <v xml:space="preserve"> F14&amp; F13&amp; F12&amp; OP6&amp; OP5&amp; OP4&amp;~OP3&amp;~OP2+</v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5" x14ac:dyDescent="0.45">
      <c r="A25" s="50" t="str">
        <f>IF(ISBLANK(真值表!B25),"",真值表!B25)</f>
        <v>URET</v>
      </c>
      <c r="B25" s="45">
        <f>IF(ISBLANK(真值表!C25),"",真值表!C25)</f>
        <v>2</v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>~F30&amp;</v>
      </c>
      <c r="F25" s="47" t="str">
        <f>IF(真值表!G25=1," "&amp;真值表!G$1&amp;"&amp;",IF(真值表!G25=0,"~"&amp;真值表!G$1&amp;"&amp;",""))</f>
        <v>~F25&amp;</v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~F30&amp;~F25&amp;~F14&amp;~F13&amp;~F12&amp;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>~F30&amp;~F25&amp;~F14&amp;~F13&amp;~F12&amp; OP6&amp; OP5&amp; OP4&amp;~OP3&amp;~OP2+</v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45">
      <c r="A26" s="31" t="str">
        <f>IF(ISBLANK(真值表!B26),"",真值表!B26)</f>
        <v>sra</v>
      </c>
      <c r="B26" s="37">
        <f>IF(ISBLANK(真值表!C26),"",真值表!C26)</f>
        <v>32</v>
      </c>
      <c r="C26" s="37">
        <f>IF(ISBLANK(真值表!D26),"",真值表!D26)</f>
        <v>5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 xml:space="preserve"> 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 xml:space="preserve"> 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 xml:space="preserve"> 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 xml:space="preserve"> F30&amp;~F25&amp; F14&amp;~F13&amp; F12&amp;~OP6&amp; OP5&amp; 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/>
      </c>
      <c r="S26" s="24" t="str">
        <f>IF(真值表!T26=1,$O26&amp;"+","")</f>
        <v xml:space="preserve"> F30&amp;~F25&amp; F14&amp;~F13&amp; F12&amp;~OP6&amp; OP5&amp; OP4&amp;~OP3&amp;~OP2+</v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 xml:space="preserve"> F30&amp;~F25&amp; F14&amp;~F13&amp; 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/>
      </c>
      <c r="AJ26" s="24" t="str">
        <f>IF(真值表!AK26=1,$O26&amp;"+","")</f>
        <v/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45">
      <c r="A27" s="50" t="str">
        <f>IF(ISBLANK(真值表!B27),"",真值表!B27)</f>
        <v>lui</v>
      </c>
      <c r="B27" s="45" t="str">
        <f>IF(ISBLANK(真值表!C27),"",真值表!C27)</f>
        <v/>
      </c>
      <c r="C27" s="52" t="str">
        <f>IF(ISBLANK(真值表!D27),"",真值表!D27)</f>
        <v/>
      </c>
      <c r="D27" s="51" t="str">
        <f>IF(ISBLANK(真值表!E27),"",真值表!E27)</f>
        <v>D</v>
      </c>
      <c r="E27" s="47" t="str">
        <f>IF(真值表!F27=1," "&amp;真值表!F$1&amp;"&amp;",IF(真值表!F27=0,"~"&amp;真值表!F$1&amp;"&amp;",""))</f>
        <v/>
      </c>
      <c r="F27" s="47" t="str">
        <f>IF(真值表!G27=1," "&amp;真值表!G$1&amp;"&amp;",IF(真值表!G27=0,"~"&amp;真值表!G$1&amp;"&amp;",""))</f>
        <v/>
      </c>
      <c r="G27" s="47" t="str">
        <f>IF(真值表!H27=1," "&amp;真值表!H$1&amp;"&amp;",IF(真值表!H27=0,"~"&amp;真值表!H$1&amp;"&amp;",""))</f>
        <v/>
      </c>
      <c r="H27" s="47" t="str">
        <f>IF(真值表!I27=1," "&amp;真值表!I$1&amp;"&amp;",IF(真值表!I27=0,"~"&amp;真值表!I$1&amp;"&amp;",""))</f>
        <v/>
      </c>
      <c r="I27" s="47" t="str">
        <f>IF(真值表!J27=1," "&amp;真值表!J$1&amp;"&amp;",IF(真值表!J27=0,"~"&amp;真值表!J$1&amp;"&amp;",""))</f>
        <v/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 xml:space="preserve"> 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 xml:space="preserve"> OP2&amp;</v>
      </c>
      <c r="O27" s="48" t="str">
        <f t="shared" si="1"/>
        <v>~OP6&amp; OP5&amp; OP4&amp;~OP3&amp; OP2</v>
      </c>
      <c r="P27" s="49" t="str">
        <f>IF(真值表!Q27=1,$O27&amp;"+","")</f>
        <v>~OP6&amp; OP5&amp; OP4&amp;~OP3&amp; OP2+</v>
      </c>
      <c r="Q27" s="49" t="str">
        <f>IF(真值表!R27=1,$O27&amp;"+","")</f>
        <v/>
      </c>
      <c r="R27" s="49" t="str">
        <f>IF(真值表!S27=1,$O27&amp;"+","")</f>
        <v/>
      </c>
      <c r="S27" s="49" t="str">
        <f>IF(真值表!T27=1,$O27&amp;"+","")</f>
        <v/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>~OP6&amp; OP5&amp; OP4&amp;~OP3&amp; OP2+</v>
      </c>
      <c r="W27" s="49" t="str">
        <f>IF(真值表!X27=1,$O27&amp;"+","")</f>
        <v>~OP6&amp; OP5&amp; OP4&amp;~OP3&amp; 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>~OP6&amp; OP5&amp; OP4&amp;~OP3&amp; OP2+</v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/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45">
      <c r="A28" s="31" t="str">
        <f>IF(ISBLANK(真值表!B28),"",真值表!B28)</f>
        <v>lb</v>
      </c>
      <c r="B28" s="37" t="str">
        <f>IF(ISBLANK(真值表!C28),"",真值表!C28)</f>
        <v/>
      </c>
      <c r="C28" s="37">
        <f>IF(ISBLANK(真值表!D28),"",真值表!D28)</f>
        <v>0</v>
      </c>
      <c r="D28" s="36">
        <f>IF(ISBLANK(真值表!E28),"",真值表!E28)</f>
        <v>0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>~OP5&amp;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~F14&amp;~F13&amp;~F12&amp;~OP6&amp;~OP5&amp;~OP4&amp;~OP3&amp;~OP2</v>
      </c>
      <c r="P28" s="24" t="str">
        <f>IF(真值表!Q28=1,$O28&amp;"+","")</f>
        <v/>
      </c>
      <c r="Q28" s="24" t="str">
        <f>IF(真值表!R28=1,$O28&amp;"+","")</f>
        <v>~F14&amp;~F13&amp;~F12&amp;~OP6&amp;~OP5&amp;~OP4&amp;~OP3&amp;~OP2+</v>
      </c>
      <c r="R28" s="24" t="str">
        <f>IF(真值表!S28=1,$O28&amp;"+","")</f>
        <v/>
      </c>
      <c r="S28" s="24" t="str">
        <f>IF(真值表!T28=1,$O28&amp;"+","")</f>
        <v>~F14&amp;~F13&amp;~F12&amp;~OP6&amp;~OP5&amp;~OP4&amp;~OP3&amp;~OP2+</v>
      </c>
      <c r="T28" s="24" t="str">
        <f>IF(真值表!U28=1,$O28&amp;"+","")</f>
        <v>~F14&amp;~F13&amp;~F12&amp;~OP6&amp;~OP5&amp;~OP4&amp;~OP3&amp;~OP2+</v>
      </c>
      <c r="U28" s="24" t="str">
        <f>IF(真值表!V28=1,$O28&amp;"+","")</f>
        <v/>
      </c>
      <c r="V28" s="24" t="str">
        <f>IF(真值表!W28=1,$O28&amp;"+","")</f>
        <v>~F14&amp;~F13&amp;~F12&amp;~OP6&amp;~OP5&amp;~OP4&amp;~OP3&amp;~OP2+</v>
      </c>
      <c r="W28" s="24" t="str">
        <f>IF(真值表!X28=1,$O28&amp;"+","")</f>
        <v>~F14&amp;~F13&amp;~F12&amp;~OP6&amp;~OP5&amp;~OP4&amp;~OP3&amp;~OP2+</v>
      </c>
      <c r="X28" s="24" t="str">
        <f>IF(真值表!Y28=1,$O28&amp;"+","")</f>
        <v/>
      </c>
      <c r="Y28" s="24" t="str">
        <f>IF(真值表!Z28=1,$O28&amp;"+","")</f>
        <v/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>~F14&amp;~F13&amp;~F12&amp;~OP6&amp;~OP5&amp;~OP4&amp;~OP3&amp;~OP2+</v>
      </c>
      <c r="AG28" s="24" t="str">
        <f>IF(真值表!AH28=1,$O28&amp;"+","")</f>
        <v/>
      </c>
      <c r="AH28" s="24" t="str">
        <f>IF(真值表!AI28=1,$O28&amp;"+","")</f>
        <v/>
      </c>
      <c r="AI28" s="24" t="str">
        <f>IF(真值表!AJ28=1,$O28&amp;"+","")</f>
        <v/>
      </c>
      <c r="AJ28" s="24" t="str">
        <f>IF(真值表!AK28=1,$O28&amp;"+","")</f>
        <v/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45">
      <c r="A29" s="50" t="str">
        <f>IF(ISBLANK(真值表!B29),"",真值表!B29)</f>
        <v>bgeu</v>
      </c>
      <c r="B29" s="45" t="str">
        <f>IF(ISBLANK(真值表!C29),"",真值表!C29)</f>
        <v/>
      </c>
      <c r="C29" s="52">
        <f>IF(ISBLANK(真值表!D29),"",真值表!D29)</f>
        <v>7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 xml:space="preserve"> F13&amp;</v>
      </c>
      <c r="I29" s="47" t="str">
        <f>IF(真值表!J29=1," "&amp;真值表!J$1&amp;"&amp;",IF(真值表!J29=0,"~"&amp;真值表!J$1&amp;"&amp;",""))</f>
        <v xml:space="preserve"> 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 F13&amp; F12&amp; OP6&amp; OP5&amp;~OP4&amp;~OP3&amp;~OP2</v>
      </c>
      <c r="P29" s="49" t="str">
        <f>IF(真值表!Q29=1,$O29&amp;"+","")</f>
        <v xml:space="preserve"> F14&amp; F13&amp; F12&amp; OP6&amp; OP5&amp;~OP4&amp;~OP3&amp;~OP2+</v>
      </c>
      <c r="Q29" s="49" t="str">
        <f>IF(真值表!R29=1,$O29&amp;"+","")</f>
        <v xml:space="preserve"> F14&amp; F13&amp; F12&amp; OP6&amp; OP5&amp;~OP4&amp;~OP3&amp;~OP2+</v>
      </c>
      <c r="R29" s="49" t="str">
        <f>IF(真值表!S29=1,$O29&amp;"+","")</f>
        <v/>
      </c>
      <c r="S29" s="49" t="str">
        <f>IF(真值表!T29=1,$O29&amp;"+","")</f>
        <v/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/>
      </c>
      <c r="AG29" s="49" t="str">
        <f>IF(真值表!AH29=1,$O29&amp;"+","")</f>
        <v xml:space="preserve"> F14&amp; F13&amp; F12&amp; OP6&amp; OP5&amp;~OP4&amp;~OP3&amp;~OP2+</v>
      </c>
      <c r="AH29" s="49" t="str">
        <f>IF(真值表!AI29=1,$O29&amp;"+","")</f>
        <v/>
      </c>
      <c r="AI29" s="49" t="str">
        <f>IF(真值表!AJ29=1,$O29&amp;"+","")</f>
        <v/>
      </c>
      <c r="AJ29" s="49" t="str">
        <f>IF(真值表!AK29=1,$O29&amp;"+","")</f>
        <v/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45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45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45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45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45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45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45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45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45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45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45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45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45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45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45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45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45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45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45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45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45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45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45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45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45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45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45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45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45">
      <c r="A58" s="83" t="s">
        <v>82</v>
      </c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5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OP4&amp;~OP3&amp;~OP2+~OP6&amp; OP5&amp; OP4&amp;~OP3&amp; OP2+ F14&amp; F13&amp; 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OP4&amp;~OP3&amp;~OP2+~F14&amp;~F13&amp;~F12&amp;~OP6&amp;~OP5&amp;~OP4&amp;~OP3&amp;~OP2+ F14&amp; F13&amp; F12&amp; OP6&amp; 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 F30&amp;~F25&amp; F14&amp;~F13&amp; F12&amp;~OP6&amp; OP5&amp; OP4&amp;~OP3&amp;~OP2+~F14&amp;~F13&amp;~F12&amp;~OP6&amp;~OP5&amp;~OP4&amp;~OP3&amp;~OP2</v>
      </c>
      <c r="T58" s="30" t="str">
        <f t="shared" si="2"/>
        <v>~F14&amp; F13&amp;~F12&amp;~OP6&amp;~OP5&amp;~OP4&amp;~OP3&amp;~OP2+~F14&amp;~F13&amp;~F12&amp;~OP6&amp;~OP5&amp;~OP4&amp;~OP3&amp;~OP2</v>
      </c>
      <c r="U58" s="30" t="str">
        <f t="shared" si="2"/>
        <v>~F14&amp; 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OP4&amp;~OP3&amp;~OP2+~OP6&amp; OP5&amp; OP4&amp;~OP3&amp; OP2+~F14&amp;~F13&amp;~F12&amp;~OP6&amp;~OP5&amp;~OP4&amp;~OP3&amp;~OP2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OP2+~F30&amp;~F25&amp;~F14&amp;~F13&amp;~F12&amp; OP6&amp; OP5&amp; OP4&amp;~OP3&amp;~OP2+ F30&amp;~F25&amp; F14&amp;~F13&amp; F12&amp;~OP6&amp; OP5&amp; OP4&amp;~OP3&amp;~OP2+~OP6&amp; OP5&amp; OP4&amp;~OP3&amp; OP2+~F14&amp;~F13&amp;~F12&amp;~OP6&amp;~OP5&amp;~OP4&amp;~OP3&amp;~OP2</v>
      </c>
      <c r="X58" s="30" t="str">
        <f t="shared" si="2"/>
        <v>~F30&amp;~F25&amp;~F14&amp;~F13&amp;~F12&amp; OP6&amp; OP5&amp; OP4&amp;~OP3&amp;~OP2</v>
      </c>
      <c r="Y58" s="32" t="str">
        <f t="shared" si="2"/>
        <v>~F14&amp; 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 xml:space="preserve"> F14&amp; F13&amp;~F12&amp; OP6&amp; OP5&amp; OP4&amp;~OP3&amp;~OP2</v>
      </c>
      <c r="AE58" s="33" t="str">
        <f t="shared" si="2"/>
        <v>~OP6&amp; OP5&amp; OP4&amp;~OP3&amp; OP2</v>
      </c>
      <c r="AF58" s="30" t="str">
        <f t="shared" si="2"/>
        <v>~F14&amp;~F13&amp;~F12&amp;~OP6&amp;~OP5&amp;~OP4&amp;~OP3&amp;~OP2</v>
      </c>
      <c r="AG58" s="30" t="str">
        <f t="shared" si="2"/>
        <v xml:space="preserve"> F14&amp; F13&amp; F12&amp; OP6&amp; OP5&amp;~OP4&amp;~OP3&amp;~OP2</v>
      </c>
      <c r="AH58" s="30" t="str">
        <f t="shared" si="2"/>
        <v xml:space="preserve"> F14&amp; F13&amp; F12&amp; OP6&amp; OP5&amp; OP4&amp;~OP3&amp;~OP2</v>
      </c>
      <c r="AI58" s="30" t="str">
        <f t="shared" si="2"/>
        <v/>
      </c>
      <c r="AJ58" s="30" t="str">
        <f t="shared" si="2"/>
        <v/>
      </c>
      <c r="AK58" s="30" t="str">
        <f t="shared" si="2"/>
        <v/>
      </c>
      <c r="AL58" s="3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 F14&amp; F13&amp;~F12&amp; OP6&amp; OP5&amp; OP4&amp;~OP3&amp;~OP2+~OP6&amp; OP5&amp; OP4&amp;~OP3&amp; OP2+ F14&amp; F13&amp; 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OP4&amp;~OP3&amp;~OP2+~F14&amp;~F13&amp;~F12&amp;~OP6&amp;~OP5&amp;~OP4&amp;~OP3&amp;~OP2+ F14&amp; F13&amp; F12&amp; 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OP5&amp;~OP4&amp;~OP3&amp;~OP2+~F14&amp;~F13&amp;~F12&amp; OP6&amp; OP5&amp;~OP4&amp;~OP3&amp; OP2+ F14&amp; F13&amp; F12&amp; OP6&amp; OP5&amp; 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 F14&amp; F13&amp; F12&amp; OP6&amp; OP5&amp; OP4&amp;~OP3&amp;~OP2+ F30&amp;~F25&amp; F14&amp;~F13&amp; F12&amp;~OP6&amp; OP5&amp; OP4&amp;~OP3&amp;~OP2+~F14&amp;~F13&amp;~F12&amp;~OP6&amp;~OP5&amp;~OP4&amp;~OP3&amp;~OP2+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F13&amp;~F12&amp;~OP6&amp;~OP5&amp;~OP4&amp;~OP3&amp;~OP2+~F14&amp;~F13&amp;~F12&amp;~OP6&amp;~OP5&amp;~OP4&amp;~OP3&amp;~OP2+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 OP2+ F14&amp; F13&amp;~F12&amp; OP6&amp; OP5&amp; OP4&amp;~OP3&amp;~OP2+ F14&amp; F13&amp; F12&amp; OP6&amp; OP5&amp; OP4&amp;~OP3&amp;~OP2+~OP6&amp; OP5&amp; OP4&amp;~OP3&amp; OP2+~F14&amp;~F13&amp;~F12&amp;~OP6&amp;~OP5&amp;~OP4&amp;~OP3&amp;~OP2+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OP2+~F30&amp;~F25&amp;~F14&amp;~F13&amp;~F12&amp; OP6&amp; OP5&amp; OP4&amp;~OP3&amp;~OP2+ F30&amp;~F25&amp; F14&amp;~F13&amp; F12&amp;~OP6&amp; OP5&amp; OP4&amp;~OP3&amp;~OP2+~OP6&amp; OP5&amp; OP4&amp;~OP3&amp; OP2+~F14&amp;~F13&amp;~F12&amp;~OP6&amp;~OP5&amp;~OP4&amp;~OP3&amp;~OP2+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 xml:space="preserve"> F14&amp; F13&amp;~F12&amp; OP6&amp; OP5&amp; OP4&amp;~OP3&amp;~OP2+</v>
      </c>
      <c r="AE59" t="str">
        <f t="shared" si="3"/>
        <v>~OP6&amp; OP5&amp; OP4&amp;~OP3&amp; OP2+</v>
      </c>
      <c r="AF59" t="str">
        <f t="shared" si="3"/>
        <v>~F14&amp;~F13&amp;~F12&amp;~OP6&amp;~OP5&amp;~OP4&amp;~OP3&amp;~OP2+</v>
      </c>
      <c r="AG59" t="str">
        <f t="shared" si="3"/>
        <v xml:space="preserve"> F14&amp; F13&amp; F12&amp; OP6&amp; OP5&amp;~OP4&amp;~OP3&amp;~OP2+</v>
      </c>
      <c r="AH59" t="str">
        <f t="shared" si="3"/>
        <v xml:space="preserve"> F14&amp; F13&amp; F12&amp; OP6&amp; OP5&amp; OP4&amp;~OP3&amp;~OP2+</v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86" t="s">
        <v>62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18"/>
      <c r="AC61" s="18"/>
      <c r="AD61" s="18"/>
      <c r="AE61" s="18"/>
    </row>
    <row r="63" spans="1:50" ht="16.5" x14ac:dyDescent="0.3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1787" yWindow="986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14" sqref="C14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2</v>
      </c>
      <c r="B1" s="9" t="s">
        <v>16</v>
      </c>
      <c r="C1" s="10" t="s">
        <v>17</v>
      </c>
    </row>
    <row r="2" spans="1:3" ht="18" customHeight="1" x14ac:dyDescent="0.3">
      <c r="A2" s="11" t="s">
        <v>18</v>
      </c>
      <c r="B2" s="12">
        <v>0</v>
      </c>
      <c r="C2" s="13" t="s">
        <v>19</v>
      </c>
    </row>
    <row r="3" spans="1:3" ht="18" customHeight="1" x14ac:dyDescent="0.3">
      <c r="A3" s="11" t="s">
        <v>20</v>
      </c>
      <c r="B3" s="12">
        <v>1</v>
      </c>
      <c r="C3" s="13" t="s">
        <v>21</v>
      </c>
    </row>
    <row r="4" spans="1:3" ht="18" customHeight="1" x14ac:dyDescent="0.3">
      <c r="A4" s="11" t="s">
        <v>22</v>
      </c>
      <c r="B4" s="12">
        <v>2</v>
      </c>
      <c r="C4" s="13" t="s">
        <v>23</v>
      </c>
    </row>
    <row r="5" spans="1:3" ht="18" customHeight="1" x14ac:dyDescent="0.45">
      <c r="A5" s="11" t="s">
        <v>24</v>
      </c>
      <c r="B5" s="12">
        <v>3</v>
      </c>
      <c r="C5" s="13" t="s">
        <v>25</v>
      </c>
    </row>
    <row r="6" spans="1:3" ht="18" customHeight="1" x14ac:dyDescent="0.3">
      <c r="A6" s="11" t="s">
        <v>26</v>
      </c>
      <c r="B6" s="12">
        <v>4</v>
      </c>
      <c r="C6" s="13" t="s">
        <v>27</v>
      </c>
    </row>
    <row r="7" spans="1:3" ht="18" customHeight="1" x14ac:dyDescent="0.3">
      <c r="A7" s="11" t="s">
        <v>28</v>
      </c>
      <c r="B7" s="12">
        <v>5</v>
      </c>
      <c r="C7" s="13" t="s">
        <v>29</v>
      </c>
    </row>
    <row r="8" spans="1:3" ht="18" customHeight="1" x14ac:dyDescent="0.3">
      <c r="A8" s="11" t="s">
        <v>30</v>
      </c>
      <c r="B8" s="12">
        <v>6</v>
      </c>
      <c r="C8" s="13" t="s">
        <v>31</v>
      </c>
    </row>
    <row r="9" spans="1:3" ht="18" customHeight="1" x14ac:dyDescent="0.3">
      <c r="A9" s="11" t="s">
        <v>32</v>
      </c>
      <c r="B9" s="12">
        <v>7</v>
      </c>
      <c r="C9" s="13" t="s">
        <v>33</v>
      </c>
    </row>
    <row r="10" spans="1:3" ht="18" customHeight="1" x14ac:dyDescent="0.3">
      <c r="A10" s="11">
        <v>1000</v>
      </c>
      <c r="B10" s="12">
        <v>8</v>
      </c>
      <c r="C10" s="13" t="s">
        <v>34</v>
      </c>
    </row>
    <row r="11" spans="1:3" ht="18" customHeight="1" x14ac:dyDescent="0.3">
      <c r="A11" s="11">
        <v>1001</v>
      </c>
      <c r="B11" s="12">
        <v>9</v>
      </c>
      <c r="C11" s="13" t="s">
        <v>35</v>
      </c>
    </row>
    <row r="12" spans="1:3" ht="18" customHeight="1" x14ac:dyDescent="0.3">
      <c r="A12" s="11">
        <v>1010</v>
      </c>
      <c r="B12" s="12">
        <v>10</v>
      </c>
      <c r="C12" s="13" t="s">
        <v>36</v>
      </c>
    </row>
    <row r="13" spans="1:3" ht="18" customHeight="1" x14ac:dyDescent="0.3">
      <c r="A13" s="11">
        <v>1011</v>
      </c>
      <c r="B13" s="12">
        <v>11</v>
      </c>
      <c r="C13" s="13" t="s">
        <v>37</v>
      </c>
    </row>
    <row r="14" spans="1:3" ht="18" customHeight="1" x14ac:dyDescent="0.3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B7" sqref="B7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68" customWidth="1"/>
  </cols>
  <sheetData>
    <row r="1" spans="1:4" s="1" customFormat="1" ht="20.149999999999999" customHeight="1" x14ac:dyDescent="0.4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49999999999999" customHeight="1" thickTop="1" thickBot="1" x14ac:dyDescent="0.4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49999999999999" customHeight="1" thickBot="1" x14ac:dyDescent="0.4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49999999999999" customHeight="1" thickTop="1" thickBot="1" x14ac:dyDescent="0.4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49999999999999" customHeight="1" thickBot="1" x14ac:dyDescent="0.4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49999999999999" customHeight="1" thickTop="1" thickBot="1" x14ac:dyDescent="0.4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49999999999999" customHeight="1" thickBot="1" x14ac:dyDescent="0.4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49999999999999" customHeight="1" thickTop="1" thickBot="1" x14ac:dyDescent="0.4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49999999999999" customHeight="1" thickBot="1" x14ac:dyDescent="0.4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49999999999999" customHeight="1" thickTop="1" thickBot="1" x14ac:dyDescent="0.4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49999999999999" customHeight="1" thickBot="1" x14ac:dyDescent="0.4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" customHeight="1" thickTop="1" thickBot="1" x14ac:dyDescent="0.4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希宇 王</cp:lastModifiedBy>
  <dcterms:created xsi:type="dcterms:W3CDTF">2015-06-05T18:19:00Z</dcterms:created>
  <dcterms:modified xsi:type="dcterms:W3CDTF">2025-09-18T09:48:58Z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